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illi\Desktop\CodeForGit\Portfolio-Backups\4.Bikes-Excel\"/>
    </mc:Choice>
  </mc:AlternateContent>
  <xr:revisionPtr revIDLastSave="0" documentId="13_ncr:1_{3502E83A-97AD-42D7-B418-8BEA8310134E}" xr6:coauthVersionLast="47" xr6:coauthVersionMax="47" xr10:uidLastSave="{00000000-0000-0000-0000-000000000000}"/>
  <bookViews>
    <workbookView xWindow="16080" yWindow="30" windowWidth="29040" windowHeight="15720" tabRatio="820" activeTab="5" xr2:uid="{00000000-000D-0000-FFFF-FFFF00000000}"/>
  </bookViews>
  <sheets>
    <sheet name="Orig Bike Sales" sheetId="1" r:id="rId1"/>
    <sheet name="Products" sheetId="7" r:id="rId2"/>
    <sheet name="Working" sheetId="2" r:id="rId3"/>
    <sheet name="PVSheet" sheetId="21" r:id="rId4"/>
    <sheet name="SalesByCountryGender" sheetId="18" r:id="rId5"/>
    <sheet name="Dashboard" sheetId="22" r:id="rId6"/>
  </sheets>
  <functionGroups builtInGroupCount="19"/>
  <definedNames>
    <definedName name="_xlcn.WorksheetConnection_VBAUSBikeSales.xlsmBikeSales1" hidden="1">BikeSales[]</definedName>
    <definedName name="_xlcn.WorksheetConnection_VBAUSBikeSales.xlsmTable21" hidden="1">Products[]</definedName>
    <definedName name="GenderCountry">SalesByCountryGender!$A$3:$D$28</definedName>
    <definedName name="PVAgeGroup">PVSheet!$A$15:$B$19</definedName>
    <definedName name="PVCountry">PVSheet!$A$28:$B$35</definedName>
    <definedName name="PVGender">PVSheet!$A$3:$B$6</definedName>
    <definedName name="PVProdType">PVSheet!$A$8:$B$13</definedName>
    <definedName name="PVWeekly">PVSheet!$A$21:$B$26</definedName>
    <definedName name="Slicer_Age_Group1">#N/A</definedName>
    <definedName name="Slicer_Country">#N/A</definedName>
    <definedName name="Slicer_Customer_Gender1">#N/A</definedName>
    <definedName name="Slicer_Product_Type2">#N/A</definedName>
    <definedName name="Slicer_WeekNumber">#N/A</definedName>
  </definedNames>
  <calcPr calcId="191028"/>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 name="Product" connection="WorksheetConnection_VBA-US-BikeSales.xlsm!Table2"/>
          <x15:modelTable id="BikeSales" name="BikeSales" connection="WorksheetConnection_VBA-US-BikeSales.xlsm!BikeSales"/>
        </x15:modelTables>
        <x15:modelRelationships>
          <x15:modelRelationship fromTable="BikeSales" fromColumn="Product_Type" toTable="Product" toColumn="Produc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 i="21" l="1" a="1"/>
  <c r="C29" i="21" s="1"/>
  <c r="C30" i="21" a="1"/>
  <c r="C30" i="21" s="1"/>
  <c r="C31" i="21" a="1"/>
  <c r="C31" i="21" s="1"/>
  <c r="C32" i="21" a="1"/>
  <c r="C32" i="21" s="1"/>
  <c r="C33" i="21" a="1"/>
  <c r="C33" i="21" s="1"/>
  <c r="C34" i="21" a="1"/>
  <c r="C34" i="21" s="1"/>
  <c r="S9" i="1"/>
  <c r="R9" i="1"/>
  <c r="R3" i="1"/>
  <c r="R4" i="1"/>
  <c r="R5" i="1"/>
  <c r="R6" i="1"/>
  <c r="R7" i="1"/>
  <c r="R8"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2" i="1"/>
  <c r="S3" i="1"/>
  <c r="S4" i="1"/>
  <c r="S5" i="1"/>
  <c r="S6" i="1"/>
  <c r="S7" i="1"/>
  <c r="S8"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2" i="1"/>
  <c r="C34" i="2" a="1"/>
  <c r="C35" i="2" a="1"/>
  <c r="C25" i="2" a="1"/>
  <c r="C76" i="2" a="1"/>
  <c r="C6" i="2" a="1"/>
  <c r="C57" i="2" a="1"/>
  <c r="C47" i="2" a="1"/>
  <c r="C68" i="2" a="1"/>
  <c r="C48" i="2" a="1"/>
  <c r="C32" i="2" a="1"/>
  <c r="C2" i="2" a="1"/>
  <c r="C19" i="2" a="1"/>
  <c r="C65" i="2" a="1"/>
  <c r="C88" i="2" a="1"/>
  <c r="C69" i="2" a="1"/>
  <c r="C39" i="2" a="1"/>
  <c r="C55" i="2" a="1"/>
  <c r="C15" i="2" a="1"/>
  <c r="C12" i="2" a="1"/>
  <c r="C26" i="2" a="1"/>
  <c r="C4" i="2" a="1"/>
  <c r="C61" i="2" a="1"/>
  <c r="C63" i="2" a="1"/>
  <c r="C86" i="2" a="1"/>
  <c r="C52" i="2" a="1"/>
  <c r="C41" i="2" a="1"/>
  <c r="C50" i="2" a="1"/>
  <c r="C28" i="2" a="1"/>
  <c r="C64" i="2" a="1"/>
  <c r="C30" i="2" a="1"/>
  <c r="C27" i="2" a="1"/>
  <c r="C70" i="2" a="1"/>
  <c r="C9" i="2" a="1"/>
  <c r="C45" i="2" a="1"/>
  <c r="C59" i="2" a="1"/>
  <c r="C29" i="2" a="1"/>
  <c r="C84" i="2" a="1"/>
  <c r="C22" i="2" a="1"/>
  <c r="C78" i="2" a="1"/>
  <c r="C83" i="2" a="1"/>
  <c r="C46" i="2" a="1"/>
  <c r="C74" i="2" a="1"/>
  <c r="C36" i="2" a="1"/>
  <c r="C75" i="2" a="1"/>
  <c r="C66" i="2" a="1"/>
  <c r="C85" i="2" a="1"/>
  <c r="C7" i="2" a="1"/>
  <c r="C40" i="2" a="1"/>
  <c r="C23" i="2" a="1"/>
  <c r="C87" i="2" a="1"/>
  <c r="C67" i="2" a="1"/>
  <c r="C58" i="2" a="1"/>
  <c r="C21" i="2" a="1"/>
  <c r="C79" i="2" a="1"/>
  <c r="C17" i="2" a="1"/>
  <c r="C16" i="2" a="1"/>
  <c r="C24" i="2" a="1"/>
  <c r="C54" i="2" a="1"/>
  <c r="C5" i="2" a="1"/>
  <c r="C20" i="2" a="1"/>
  <c r="C13" i="2" a="1"/>
  <c r="C3" i="2" a="1"/>
  <c r="C38" i="2" a="1"/>
  <c r="C10" i="2" a="1"/>
  <c r="C43" i="2" a="1"/>
  <c r="C62" i="2" a="1"/>
  <c r="C42" i="2" a="1"/>
  <c r="C8" i="2" a="1"/>
  <c r="C56" i="2" a="1"/>
  <c r="C11" i="2" a="1"/>
  <c r="C71" i="2" a="1"/>
  <c r="C77" i="2" a="1"/>
  <c r="C49" i="2" a="1"/>
  <c r="C44" i="2" a="1"/>
  <c r="C81" i="2" a="1"/>
  <c r="C53" i="2" a="1"/>
  <c r="C82" i="2" a="1"/>
  <c r="C37" i="2" a="1"/>
  <c r="C60" i="2" a="1"/>
  <c r="C31" i="2" a="1"/>
  <c r="C80" i="2" a="1"/>
  <c r="C33" i="2" a="1"/>
  <c r="C51" i="2" a="1"/>
  <c r="C18" i="2" a="1"/>
  <c r="C14" i="2" a="1"/>
  <c r="C73" i="2" a="1"/>
  <c r="C72" i="2" a="1"/>
  <c r="C2" i="2" l="1"/>
  <c r="C73" i="2"/>
  <c r="C61" i="2"/>
  <c r="C37" i="2"/>
  <c r="C7" i="2"/>
  <c r="C84" i="2"/>
  <c r="C72" i="2"/>
  <c r="C36" i="2"/>
  <c r="C6" i="2"/>
  <c r="C71" i="2"/>
  <c r="C53" i="2"/>
  <c r="C35" i="2"/>
  <c r="C11" i="2"/>
  <c r="C52" i="2"/>
  <c r="C4" i="2"/>
  <c r="C55" i="2"/>
  <c r="C25" i="2"/>
  <c r="C54" i="2"/>
  <c r="C24" i="2"/>
  <c r="C29" i="2"/>
  <c r="C10" i="2"/>
  <c r="C85" i="2"/>
  <c r="C49" i="2"/>
  <c r="C13" i="2"/>
  <c r="C66" i="2"/>
  <c r="C42" i="2"/>
  <c r="C18" i="2"/>
  <c r="C83" i="2"/>
  <c r="C59" i="2"/>
  <c r="C41" i="2"/>
  <c r="C17" i="2"/>
  <c r="C88" i="2"/>
  <c r="C64" i="2"/>
  <c r="C46" i="2"/>
  <c r="C40" i="2"/>
  <c r="C28" i="2"/>
  <c r="C22" i="2"/>
  <c r="C16" i="2"/>
  <c r="C87" i="2"/>
  <c r="C81" i="2"/>
  <c r="C75" i="2"/>
  <c r="C69" i="2"/>
  <c r="C63" i="2"/>
  <c r="C57" i="2"/>
  <c r="C51" i="2"/>
  <c r="C45" i="2"/>
  <c r="C39" i="2"/>
  <c r="C33" i="2"/>
  <c r="C27" i="2"/>
  <c r="C21" i="2"/>
  <c r="C15" i="2"/>
  <c r="C9" i="2"/>
  <c r="C3" i="2"/>
  <c r="C79" i="2"/>
  <c r="C67" i="2"/>
  <c r="C43" i="2"/>
  <c r="C31" i="2"/>
  <c r="C19" i="2"/>
  <c r="C78" i="2"/>
  <c r="C60" i="2"/>
  <c r="C48" i="2"/>
  <c r="C30" i="2"/>
  <c r="C12" i="2"/>
  <c r="C77" i="2"/>
  <c r="C65" i="2"/>
  <c r="C47" i="2"/>
  <c r="C23" i="2"/>
  <c r="C5" i="2"/>
  <c r="C82" i="2"/>
  <c r="C76" i="2"/>
  <c r="C70" i="2"/>
  <c r="C58" i="2"/>
  <c r="C34" i="2"/>
  <c r="C86" i="2"/>
  <c r="C80" i="2"/>
  <c r="C74" i="2"/>
  <c r="C68" i="2"/>
  <c r="C62" i="2"/>
  <c r="C56" i="2"/>
  <c r="C50" i="2"/>
  <c r="C44" i="2"/>
  <c r="C38" i="2"/>
  <c r="C32" i="2"/>
  <c r="C26" i="2"/>
  <c r="C20" i="2"/>
  <c r="C14" i="2"/>
  <c r="C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F613AD8-ADE4-42D6-9C97-B3EAAA0966C3}"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6521E44-9E69-4B77-961D-714C5242C5B4}" name="WorksheetConnection_VBA-US-BikeSales.xlsm!BikeSales" type="102" refreshedVersion="7" minRefreshableVersion="5">
    <extLst>
      <ext xmlns:x15="http://schemas.microsoft.com/office/spreadsheetml/2010/11/main" uri="{DE250136-89BD-433C-8126-D09CA5730AF9}">
        <x15:connection id="BikeSales">
          <x15:rangePr sourceName="_xlcn.WorksheetConnection_VBAUSBikeSales.xlsmBikeSales1"/>
        </x15:connection>
      </ext>
    </extLst>
  </connection>
  <connection id="3" xr16:uid="{8FA8D739-DA39-4810-90A9-6CFB0813604E}" name="WorksheetConnection_VBA-US-BikeSales.xlsm!Table2" type="102" refreshedVersion="7" minRefreshableVersion="5">
    <extLst>
      <ext xmlns:x15="http://schemas.microsoft.com/office/spreadsheetml/2010/11/main" uri="{DE250136-89BD-433C-8126-D09CA5730AF9}">
        <x15:connection id="Table2">
          <x15:rangePr sourceName="_xlcn.WorksheetConnection_VBAUSBikeSales.xlsmTable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<sst xmlns="http://schemas.openxmlformats.org/spreadsheetml/2006/main" count="1574" uniqueCount="181">
  <si>
    <t>Sales_Order #</t>
  </si>
  <si>
    <t>Date</t>
  </si>
  <si>
    <t>Day</t>
  </si>
  <si>
    <t>Month</t>
  </si>
  <si>
    <t>Year</t>
  </si>
  <si>
    <t>Customer_Age</t>
  </si>
  <si>
    <t>Age_Group</t>
  </si>
  <si>
    <t>Customer_Gender</t>
  </si>
  <si>
    <t>Country</t>
  </si>
  <si>
    <t>State</t>
  </si>
  <si>
    <t>Product_Category</t>
  </si>
  <si>
    <t>Sub_Category</t>
  </si>
  <si>
    <t>Product_Description</t>
  </si>
  <si>
    <t>Order_Quantity</t>
  </si>
  <si>
    <t xml:space="preserve"> Unit_Cost </t>
  </si>
  <si>
    <t xml:space="preserve"> Unit_Price </t>
  </si>
  <si>
    <t xml:space="preserve"> Profit </t>
  </si>
  <si>
    <t xml:space="preserve"> Cost </t>
  </si>
  <si>
    <t>Revenue</t>
  </si>
  <si>
    <t>000261695</t>
  </si>
  <si>
    <t>December</t>
  </si>
  <si>
    <t>Adults (35-64)</t>
  </si>
  <si>
    <t>F</t>
  </si>
  <si>
    <t>United States</t>
  </si>
  <si>
    <t>California</t>
  </si>
  <si>
    <t>Bikes</t>
  </si>
  <si>
    <t>Mountain Bikes</t>
  </si>
  <si>
    <t>Mountain-200 Black, 46</t>
  </si>
  <si>
    <t>M</t>
  </si>
  <si>
    <t>United Kingdom</t>
  </si>
  <si>
    <t>England</t>
  </si>
  <si>
    <t>Mountain-200 Silver, 42</t>
  </si>
  <si>
    <t>000261697</t>
  </si>
  <si>
    <t xml:space="preserve"> United States</t>
  </si>
  <si>
    <t>Mountain-400-W Silver, 46</t>
  </si>
  <si>
    <t>000261698</t>
  </si>
  <si>
    <t>Young Adults (25-34)</t>
  </si>
  <si>
    <t>Australia</t>
  </si>
  <si>
    <t>New South Wales</t>
  </si>
  <si>
    <t>Mountain-400-W Silver, 42</t>
  </si>
  <si>
    <t>000261699</t>
  </si>
  <si>
    <t>United  States</t>
  </si>
  <si>
    <t>000261700</t>
  </si>
  <si>
    <t>Youth (&lt;25)</t>
  </si>
  <si>
    <t>Mountain-200 Black, 38</t>
  </si>
  <si>
    <t>000261701</t>
  </si>
  <si>
    <t xml:space="preserve">United States </t>
  </si>
  <si>
    <t>Washington</t>
  </si>
  <si>
    <t>000261702</t>
  </si>
  <si>
    <t>000261703</t>
  </si>
  <si>
    <t>000261704</t>
  </si>
  <si>
    <t>Germany</t>
  </si>
  <si>
    <t>Nordrhein-Westfalen</t>
  </si>
  <si>
    <t>000261705</t>
  </si>
  <si>
    <t>Queensland</t>
  </si>
  <si>
    <t>Mountain-200 Silver, 38</t>
  </si>
  <si>
    <t>000261706</t>
  </si>
  <si>
    <t>000261707</t>
  </si>
  <si>
    <t>000261708</t>
  </si>
  <si>
    <t>Canada</t>
  </si>
  <si>
    <t>British Columbia</t>
  </si>
  <si>
    <t>000261709</t>
  </si>
  <si>
    <t>Mountain-200 Black, 42</t>
  </si>
  <si>
    <t>000261710</t>
  </si>
  <si>
    <t>000261711</t>
  </si>
  <si>
    <t>Decmber</t>
  </si>
  <si>
    <t>Mountain-400-W Silver, 38</t>
  </si>
  <si>
    <t>000261712</t>
  </si>
  <si>
    <t>000261713</t>
  </si>
  <si>
    <t>Mountain-500 Silver, 42</t>
  </si>
  <si>
    <t>000261714</t>
  </si>
  <si>
    <t>000261715</t>
  </si>
  <si>
    <t>Oregon</t>
  </si>
  <si>
    <t>000261716</t>
  </si>
  <si>
    <t>Mountain-500 Black, 42</t>
  </si>
  <si>
    <t>000261717</t>
  </si>
  <si>
    <t>Victoria</t>
  </si>
  <si>
    <t>Mountain-100 Black, 38</t>
  </si>
  <si>
    <t>000261718</t>
  </si>
  <si>
    <t>Hamburg</t>
  </si>
  <si>
    <t>000261719</t>
  </si>
  <si>
    <t>000261720</t>
  </si>
  <si>
    <t>000261721</t>
  </si>
  <si>
    <t>000261722</t>
  </si>
  <si>
    <t>Mountain-500 Black, 40</t>
  </si>
  <si>
    <t>000261723</t>
  </si>
  <si>
    <t>Mountain-100 Silver, 44</t>
  </si>
  <si>
    <t>000261724</t>
  </si>
  <si>
    <t>000261725</t>
  </si>
  <si>
    <t>France</t>
  </si>
  <si>
    <t>Seine (Paris)</t>
  </si>
  <si>
    <t>000261726</t>
  </si>
  <si>
    <t>000261727</t>
  </si>
  <si>
    <t>000261728</t>
  </si>
  <si>
    <t>000261729</t>
  </si>
  <si>
    <t>000261730</t>
  </si>
  <si>
    <t>000261731</t>
  </si>
  <si>
    <t>000261732</t>
  </si>
  <si>
    <t>000261733</t>
  </si>
  <si>
    <t>000261734</t>
  </si>
  <si>
    <t>000261735</t>
  </si>
  <si>
    <t>000261736</t>
  </si>
  <si>
    <t>Mountain-500 Silver, 40</t>
  </si>
  <si>
    <t>000261737</t>
  </si>
  <si>
    <t>000261738</t>
  </si>
  <si>
    <t>000261739</t>
  </si>
  <si>
    <t>000261740</t>
  </si>
  <si>
    <t>000261741</t>
  </si>
  <si>
    <t>000261742</t>
  </si>
  <si>
    <t>000261743</t>
  </si>
  <si>
    <t>000261744</t>
  </si>
  <si>
    <t>000261745</t>
  </si>
  <si>
    <t>Seine et Marne</t>
  </si>
  <si>
    <t>Mountain-200 Silver, 46</t>
  </si>
  <si>
    <t>000261746</t>
  </si>
  <si>
    <t>000261747</t>
  </si>
  <si>
    <t>000261748</t>
  </si>
  <si>
    <t>000261749</t>
  </si>
  <si>
    <t>000261750</t>
  </si>
  <si>
    <t>000261751</t>
  </si>
  <si>
    <t>Seine Saint Denis</t>
  </si>
  <si>
    <t>000261752</t>
  </si>
  <si>
    <t>000261753</t>
  </si>
  <si>
    <t>000261754</t>
  </si>
  <si>
    <t>000261755</t>
  </si>
  <si>
    <t>000261756</t>
  </si>
  <si>
    <t>Nord</t>
  </si>
  <si>
    <t>000261757</t>
  </si>
  <si>
    <t>Mountain-500 Black, 44</t>
  </si>
  <si>
    <t>000261758</t>
  </si>
  <si>
    <t>000261759</t>
  </si>
  <si>
    <t>Mountain-100 Black, 48</t>
  </si>
  <si>
    <t>000261760</t>
  </si>
  <si>
    <t>000261761</t>
  </si>
  <si>
    <t>000261762</t>
  </si>
  <si>
    <t>000261763</t>
  </si>
  <si>
    <t>South Australia</t>
  </si>
  <si>
    <t>000261764</t>
  </si>
  <si>
    <t>Hessen</t>
  </si>
  <si>
    <t>000261765</t>
  </si>
  <si>
    <t>000261766</t>
  </si>
  <si>
    <t>000261767</t>
  </si>
  <si>
    <t>000261768</t>
  </si>
  <si>
    <t>Mountain-500 Black, 52</t>
  </si>
  <si>
    <t>000261769</t>
  </si>
  <si>
    <t>000261770</t>
  </si>
  <si>
    <t>000261771</t>
  </si>
  <si>
    <t>Somme</t>
  </si>
  <si>
    <t>000261772</t>
  </si>
  <si>
    <t>000261773</t>
  </si>
  <si>
    <t>000261774</t>
  </si>
  <si>
    <t>000261775</t>
  </si>
  <si>
    <t>000261776</t>
  </si>
  <si>
    <t>000261777</t>
  </si>
  <si>
    <t>000261778</t>
  </si>
  <si>
    <t>000261779</t>
  </si>
  <si>
    <t>000261780</t>
  </si>
  <si>
    <t>000261781</t>
  </si>
  <si>
    <t>000261782</t>
  </si>
  <si>
    <t>Product_ID</t>
  </si>
  <si>
    <t>Profit</t>
  </si>
  <si>
    <t>Total Cost</t>
  </si>
  <si>
    <t>Sales</t>
  </si>
  <si>
    <t>Row Labels</t>
  </si>
  <si>
    <t>Grand Total</t>
  </si>
  <si>
    <t>Sum of Sales</t>
  </si>
  <si>
    <t>Column Labels</t>
  </si>
  <si>
    <t>Product_Type</t>
  </si>
  <si>
    <t>Mountain-200</t>
  </si>
  <si>
    <t>Mountain-400-W</t>
  </si>
  <si>
    <t>Mountain-500</t>
  </si>
  <si>
    <t>Mountain-100</t>
  </si>
  <si>
    <t>Product_Color</t>
  </si>
  <si>
    <t>Product_Size</t>
  </si>
  <si>
    <t>Black</t>
  </si>
  <si>
    <t>Silver</t>
  </si>
  <si>
    <t>WeekNumber</t>
  </si>
  <si>
    <t xml:space="preserve"> </t>
  </si>
  <si>
    <t>All Countries</t>
  </si>
  <si>
    <t>country</t>
  </si>
  <si>
    <t>series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</si>
</sst>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0.00;[Red]#,##0.0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rgb="FF000000"/>
      <name val="Calibri"/>
      <family val="2"/>
    </font>
    <font>
      <b/>
      <sz val="11"/>
      <color rgb="FF000000"/>
      <name val="Calibri"/>
      <family val="2"/>
    </font>
    <font>
      <sz val="11"/>
      <name val="Calibri"/>
      <family val="2"/>
      <scheme val="minor"/>
    </font>
    <font>
      <sz val="11"/>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9">
    <xf numFmtId="0" fontId="0" fillId="0" borderId="0" xfId="0"/>
    <xf numFmtId="14" fontId="0" fillId="0" borderId="0" xfId="0" applyNumberFormat="1"/>
    <xf numFmtId="8" fontId="0" fillId="0" borderId="0" xfId="0" applyNumberFormat="1"/>
    <xf numFmtId="49" fontId="0" fillId="0" borderId="0" xfId="0" applyNumberFormat="1" applyAlignment="1">
      <alignment horizontal="right"/>
    </xf>
    <xf numFmtId="0" fontId="16" fillId="0" borderId="0" xfId="0" applyFont="1"/>
    <xf numFmtId="0" fontId="19" fillId="0" borderId="0" xfId="0" applyFont="1"/>
    <xf numFmtId="0" fontId="20" fillId="0" borderId="0" xfId="0" applyFont="1"/>
    <xf numFmtId="0" fontId="16" fillId="0" borderId="0" xfId="0" applyFont="1" applyAlignment="1">
      <alignment horizontal="center"/>
    </xf>
    <xf numFmtId="0" fontId="0" fillId="0" borderId="0" xfId="0" applyAlignment="1">
      <alignment horizontal="center"/>
    </xf>
    <xf numFmtId="0" fontId="21" fillId="0" borderId="0" xfId="0" applyFont="1"/>
    <xf numFmtId="0" fontId="22" fillId="0" borderId="0" xfId="0" applyFont="1"/>
    <xf numFmtId="8" fontId="21" fillId="0" borderId="0" xfId="0" applyNumberFormat="1" applyFont="1"/>
    <xf numFmtId="49" fontId="21" fillId="0" borderId="0" xfId="0" applyNumberFormat="1" applyFont="1" applyAlignment="1">
      <alignment horizontal="right"/>
    </xf>
    <xf numFmtId="14" fontId="21" fillId="0" borderId="0" xfId="0" applyNumberFormat="1" applyFont="1"/>
    <xf numFmtId="0" fontId="21" fillId="0" borderId="0" xfId="0" applyFont="1" applyAlignment="1">
      <alignment horizontal="center"/>
    </xf>
    <xf numFmtId="0" fontId="0" fillId="0" borderId="0" xfId="0" applyNumberFormat="1" applyAlignment="1">
      <alignment horizontal="right"/>
    </xf>
    <xf numFmtId="164" fontId="16" fillId="0" borderId="0" xfId="0" applyNumberFormat="1" applyFont="1"/>
    <xf numFmtId="164" fontId="0" fillId="0" borderId="0" xfId="0" applyNumberFormat="1"/>
    <xf numFmtId="4" fontId="0" fillId="0" borderId="0" xfId="0" applyNumberFormat="1"/>
    <xf numFmtId="0" fontId="0" fillId="0" borderId="0" xfId="0" pivotButton="1"/>
    <xf numFmtId="0" fontId="0" fillId="0" borderId="0" xfId="0" applyAlignment="1">
      <alignment horizontal="left"/>
    </xf>
    <xf numFmtId="0" fontId="0" fillId="0" borderId="0" xfId="0" applyFont="1"/>
    <xf numFmtId="1" fontId="16" fillId="0" borderId="0" xfId="0" applyNumberFormat="1" applyFont="1"/>
    <xf numFmtId="1" fontId="0" fillId="0" borderId="0" xfId="0" applyNumberFormat="1"/>
    <xf numFmtId="1" fontId="21" fillId="0" borderId="0" xfId="0" applyNumberFormat="1" applyFont="1"/>
    <xf numFmtId="1" fontId="0" fillId="0" borderId="0" xfId="0" applyNumberFormat="1" applyAlignment="1">
      <alignment horizontal="left"/>
    </xf>
    <xf numFmtId="0" fontId="0" fillId="0" borderId="0" xfId="0" applyAlignment="1">
      <alignment horizontal="left" indent="1"/>
    </xf>
    <xf numFmtId="3"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alignment horizontal="center" vertical="bottom" textRotation="0" wrapText="0" indent="0" justifyLastLine="0" shrinkToFit="0" readingOrder="0"/>
    </dxf>
    <dxf>
      <numFmt numFmtId="1" formatCode="0"/>
    </dxf>
    <dxf>
      <numFmt numFmtId="19" formatCode="m/d/yyyy"/>
    </dxf>
    <dxf>
      <numFmt numFmtId="30" formatCode="@"/>
      <alignment horizontal="right" vertical="bottom" textRotation="0" wrapText="0" indent="0" justifyLastLine="0" shrinkToFit="0" readingOrder="0"/>
    </dxf>
    <dxf>
      <numFmt numFmtId="4" formatCode="#,##0.00"/>
    </dxf>
    <dxf>
      <numFmt numFmtId="4" formatCode="#,##0.00"/>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9D7EE"/>
      <color rgb="FFF199D4"/>
      <color rgb="FF9E2E79"/>
      <color rgb="FFEDC1DE"/>
      <color rgb="FF3C1464"/>
      <color rgb="FF3C64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5.xml"/><Relationship Id="rId18" Type="http://schemas.openxmlformats.org/officeDocument/2006/relationships/sheetMetadata" Target="metadata.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29" Type="http://schemas.openxmlformats.org/officeDocument/2006/relationships/customXml" Target="../customXml/item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microsoft.com/office/2007/relationships/slicerCache" Target="slicerCaches/slicerCache2.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microsoft.com/office/2007/relationships/slicerCache" Target="slicerCaches/slicerCache4.xml"/><Relationship Id="rId17" Type="http://schemas.openxmlformats.org/officeDocument/2006/relationships/sharedStrings" Target="sharedString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[VBA-US-BikeSales.xlsm]SalesByCountryGender!PivotTable14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SalesByCountryGender!$B$3:$B$4</c:f>
              <c:strCache>
                <c:ptCount val="1"/>
                <c:pt idx="0">
                  <c:v>F</c:v>
                </c:pt>
              </c:strCache>
            </c:strRef>
          </c:tx>
          <c:spPr>
            <a:solidFill>
              <a:schemeClr val="accent1"/>
            </a:solidFill>
            <a:ln>
              <a:noFill/>
            </a:ln>
            <a:effectLst/>
          </c:spPr>
          <c:invertIfNegative val="0"/>
          <c:cat>
            <c:multiLvlStrRef>
              <c:f>SalesByCountryGender!$A$5:$A$28</c:f>
              <c:multiLvlStrCache>
                <c:ptCount val="17"/>
                <c:lvl>
                  <c:pt idx="0">
                    <c:v>New South Wales</c:v>
                  </c:pt>
                  <c:pt idx="1">
                    <c:v>Queensland</c:v>
                  </c:pt>
                  <c:pt idx="2">
                    <c:v>South Australia</c:v>
                  </c:pt>
                  <c:pt idx="3">
                    <c:v>Victoria</c:v>
                  </c:pt>
                  <c:pt idx="4">
                    <c:v>British Columbia</c:v>
                  </c:pt>
                  <c:pt idx="5">
                    <c:v>Nord</c:v>
                  </c:pt>
                  <c:pt idx="6">
                    <c:v>Seine (Paris)</c:v>
                  </c:pt>
                  <c:pt idx="7">
                    <c:v>Seine et Marne</c:v>
                  </c:pt>
                  <c:pt idx="8">
                    <c:v>Seine Saint Denis</c:v>
                  </c:pt>
                  <c:pt idx="9">
                    <c:v>Somme</c:v>
                  </c:pt>
                  <c:pt idx="10">
                    <c:v>Hamburg</c:v>
                  </c:pt>
                  <c:pt idx="11">
                    <c:v>Hessen</c:v>
                  </c:pt>
                  <c:pt idx="12">
                    <c:v>Nordrhein-Westfalen</c:v>
                  </c:pt>
                  <c:pt idx="13">
                    <c:v>England</c:v>
                  </c:pt>
                  <c:pt idx="14">
                    <c:v>California</c:v>
                  </c:pt>
                  <c:pt idx="15">
                    <c:v>Oregon</c:v>
                  </c:pt>
                  <c:pt idx="16">
                    <c:v>Washington</c:v>
                  </c:pt>
                </c:lvl>
                <c:lvl>
                  <c:pt idx="0">
                    <c:v>Australia</c:v>
                  </c:pt>
                  <c:pt idx="4">
                    <c:v>Canada</c:v>
                  </c:pt>
                  <c:pt idx="5">
                    <c:v>France</c:v>
                  </c:pt>
                  <c:pt idx="10">
                    <c:v>Germany</c:v>
                  </c:pt>
                  <c:pt idx="13">
                    <c:v>United Kingdom</c:v>
                  </c:pt>
                  <c:pt idx="14">
                    <c:v>United States</c:v>
                  </c:pt>
                </c:lvl>
              </c:multiLvlStrCache>
            </c:multiLvlStrRef>
          </c:cat>
          <c:val>
            <c:numRef>
              <c:f>SalesByCountryGender!$B$5:$B$28</c:f>
              <c:numCache>
                <c:formatCode>#,##0</c:formatCode>
                <c:ptCount val="17"/>
                <c:pt idx="0">
                  <c:v>24338</c:v>
                </c:pt>
                <c:pt idx="1">
                  <c:v>20780</c:v>
                </c:pt>
                <c:pt idx="3">
                  <c:v>25499</c:v>
                </c:pt>
                <c:pt idx="4">
                  <c:v>13870</c:v>
                </c:pt>
                <c:pt idx="6">
                  <c:v>6885</c:v>
                </c:pt>
                <c:pt idx="7">
                  <c:v>2320</c:v>
                </c:pt>
                <c:pt idx="8">
                  <c:v>6960</c:v>
                </c:pt>
                <c:pt idx="10">
                  <c:v>2320</c:v>
                </c:pt>
                <c:pt idx="11">
                  <c:v>4590</c:v>
                </c:pt>
                <c:pt idx="12">
                  <c:v>11600</c:v>
                </c:pt>
                <c:pt idx="13">
                  <c:v>6897</c:v>
                </c:pt>
                <c:pt idx="14">
                  <c:v>44760</c:v>
                </c:pt>
                <c:pt idx="15">
                  <c:v>15820</c:v>
                </c:pt>
                <c:pt idx="16">
                  <c:v>24280</c:v>
                </c:pt>
              </c:numCache>
            </c:numRef>
          </c:val>
          <c:extLst>
            <c:ext xmlns:c16="http://schemas.microsoft.com/office/drawing/2014/chart" uri="{C3380CC4-5D6E-409C-BE32-E72D297353CC}">
              <c16:uniqueId val="{00000000-F279-4F59-AFB1-FE7883C826AE}"/>
            </c:ext>
          </c:extLst>
        </c:ser>
        <c:ser>
          <c:idx val="1"/>
          <c:order val="1"/>
          <c:tx>
            <c:strRef>
              <c:f>SalesByCountryGender!$C$3:$C$4</c:f>
              <c:strCache>
                <c:ptCount val="1"/>
                <c:pt idx="0">
                  <c:v>M</c:v>
                </c:pt>
              </c:strCache>
            </c:strRef>
          </c:tx>
          <c:spPr>
            <a:solidFill>
              <a:schemeClr val="accent2"/>
            </a:solidFill>
            <a:ln>
              <a:noFill/>
            </a:ln>
            <a:effectLst/>
          </c:spPr>
          <c:invertIfNegative val="0"/>
          <c:cat>
            <c:multiLvlStrRef>
              <c:f>SalesByCountryGender!$A$5:$A$28</c:f>
              <c:multiLvlStrCache>
                <c:ptCount val="17"/>
                <c:lvl>
                  <c:pt idx="0">
                    <c:v>New South Wales</c:v>
                  </c:pt>
                  <c:pt idx="1">
                    <c:v>Queensland</c:v>
                  </c:pt>
                  <c:pt idx="2">
                    <c:v>South Australia</c:v>
                  </c:pt>
                  <c:pt idx="3">
                    <c:v>Victoria</c:v>
                  </c:pt>
                  <c:pt idx="4">
                    <c:v>British Columbia</c:v>
                  </c:pt>
                  <c:pt idx="5">
                    <c:v>Nord</c:v>
                  </c:pt>
                  <c:pt idx="6">
                    <c:v>Seine (Paris)</c:v>
                  </c:pt>
                  <c:pt idx="7">
                    <c:v>Seine et Marne</c:v>
                  </c:pt>
                  <c:pt idx="8">
                    <c:v>Seine Saint Denis</c:v>
                  </c:pt>
                  <c:pt idx="9">
                    <c:v>Somme</c:v>
                  </c:pt>
                  <c:pt idx="10">
                    <c:v>Hamburg</c:v>
                  </c:pt>
                  <c:pt idx="11">
                    <c:v>Hessen</c:v>
                  </c:pt>
                  <c:pt idx="12">
                    <c:v>Nordrhein-Westfalen</c:v>
                  </c:pt>
                  <c:pt idx="13">
                    <c:v>England</c:v>
                  </c:pt>
                  <c:pt idx="14">
                    <c:v>California</c:v>
                  </c:pt>
                  <c:pt idx="15">
                    <c:v>Oregon</c:v>
                  </c:pt>
                  <c:pt idx="16">
                    <c:v>Washington</c:v>
                  </c:pt>
                </c:lvl>
                <c:lvl>
                  <c:pt idx="0">
                    <c:v>Australia</c:v>
                  </c:pt>
                  <c:pt idx="4">
                    <c:v>Canada</c:v>
                  </c:pt>
                  <c:pt idx="5">
                    <c:v>France</c:v>
                  </c:pt>
                  <c:pt idx="10">
                    <c:v>Germany</c:v>
                  </c:pt>
                  <c:pt idx="13">
                    <c:v>United Kingdom</c:v>
                  </c:pt>
                  <c:pt idx="14">
                    <c:v>United States</c:v>
                  </c:pt>
                </c:lvl>
              </c:multiLvlStrCache>
            </c:multiLvlStrRef>
          </c:cat>
          <c:val>
            <c:numRef>
              <c:f>SalesByCountryGender!$C$5:$C$28</c:f>
              <c:numCache>
                <c:formatCode>#,##0</c:formatCode>
                <c:ptCount val="17"/>
                <c:pt idx="0">
                  <c:v>19129</c:v>
                </c:pt>
                <c:pt idx="1">
                  <c:v>18360</c:v>
                </c:pt>
                <c:pt idx="2">
                  <c:v>1080</c:v>
                </c:pt>
                <c:pt idx="3">
                  <c:v>2320</c:v>
                </c:pt>
                <c:pt idx="4">
                  <c:v>6210</c:v>
                </c:pt>
                <c:pt idx="5">
                  <c:v>9280</c:v>
                </c:pt>
                <c:pt idx="6">
                  <c:v>13770</c:v>
                </c:pt>
                <c:pt idx="9">
                  <c:v>6960</c:v>
                </c:pt>
                <c:pt idx="11">
                  <c:v>2320</c:v>
                </c:pt>
                <c:pt idx="12">
                  <c:v>9180</c:v>
                </c:pt>
                <c:pt idx="13">
                  <c:v>13075</c:v>
                </c:pt>
                <c:pt idx="14">
                  <c:v>29704</c:v>
                </c:pt>
                <c:pt idx="15">
                  <c:v>9180</c:v>
                </c:pt>
                <c:pt idx="16">
                  <c:v>6910</c:v>
                </c:pt>
              </c:numCache>
            </c:numRef>
          </c:val>
          <c:extLst>
            <c:ext xmlns:c16="http://schemas.microsoft.com/office/drawing/2014/chart" uri="{C3380CC4-5D6E-409C-BE32-E72D297353CC}">
              <c16:uniqueId val="{00000001-F279-4F59-AFB1-FE7883C826AE}"/>
            </c:ext>
          </c:extLst>
        </c:ser>
        <c:dLbls>
          <c:showLegendKey val="0"/>
          <c:showVal val="0"/>
          <c:showCatName val="0"/>
          <c:showSerName val="0"/>
          <c:showPercent val="0"/>
          <c:showBubbleSize val="0"/>
        </c:dLbls>
        <c:gapWidth val="219"/>
        <c:overlap val="-27"/>
        <c:axId val="574865584"/>
        <c:axId val="574881392"/>
      </c:barChart>
      <c:catAx>
        <c:axId val="574865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1392"/>
        <c:crosses val="autoZero"/>
        <c:auto val="1"/>
        <c:lblAlgn val="ctr"/>
        <c:lblOffset val="100"/>
        <c:noMultiLvlLbl val="0"/>
      </c:catAx>
      <c:valAx>
        <c:axId val="5748813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65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[VBA-US-BikeSales.xlsm]PVSheet!PivotTable5</c:name>
    <c:fmtId val="8"/>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Sales by Gender</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s>
    <c:plotArea>
      <c:layout/>
      <c:pieChart>
        <c:varyColors val="1"/>
        <c:ser>
          <c:idx val="0"/>
          <c:order val="0"/>
          <c:tx>
            <c:strRef>
              <c:f>PVSheet!$B$3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9B20-4CDD-B91A-F4B2FACF51C2}"/>
              </c:ext>
            </c:extLst>
          </c:dPt>
          <c:dPt>
            <c:idx val="1"/>
            <c:bubble3D val="0"/>
            <c:explosion val="7"/>
            <c:spPr>
              <a:solidFill>
                <a:schemeClr val="accent4"/>
              </a:solidFill>
              <a:ln w="19050">
                <a:solidFill>
                  <a:schemeClr val="lt1"/>
                </a:solidFill>
              </a:ln>
              <a:effectLst/>
            </c:spPr>
            <c:extLst>
              <c:ext xmlns:c16="http://schemas.microsoft.com/office/drawing/2014/chart" uri="{C3380CC4-5D6E-409C-BE32-E72D297353CC}">
                <c16:uniqueId val="{00000004-9B20-4CDD-B91A-F4B2FACF51C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PVSheet!$A$4:$A$6</c:f>
              <c:strCache>
                <c:ptCount val="2"/>
                <c:pt idx="0">
                  <c:v>F</c:v>
                </c:pt>
                <c:pt idx="1">
                  <c:v>M</c:v>
                </c:pt>
              </c:strCache>
            </c:strRef>
          </c:cat>
          <c:val>
            <c:numRef>
              <c:f>PVSheet!$B$4:$B$6</c:f>
              <c:numCache>
                <c:formatCode>General</c:formatCode>
                <c:ptCount val="2"/>
                <c:pt idx="0">
                  <c:v>210919</c:v>
                </c:pt>
                <c:pt idx="1">
                  <c:v>147478</c:v>
                </c:pt>
              </c:numCache>
            </c:numRef>
          </c:val>
          <c:extLst>
            <c:ext xmlns:c16="http://schemas.microsoft.com/office/drawing/2014/chart" uri="{C3380CC4-5D6E-409C-BE32-E72D297353CC}">
              <c16:uniqueId val="{00000002-9B20-4CDD-B91A-F4B2FACF51C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[VBA-US-BikeSales.xlsm]PVSheet!PivotTable7</c:name>
    <c:fmtId val="8"/>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Sales By Age group</a:t>
            </a:r>
          </a:p>
        </c:rich>
      </c:tx>
      <c:layout>
        <c:manualLayout>
          <c:xMode val="edge"/>
          <c:yMode val="edge"/>
          <c:x val="0.52582333458317698"/>
          <c:y val="1.7857142857142856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2"/>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PVSheet!$B$15</c:f>
              <c:strCache>
                <c:ptCount val="1"/>
                <c:pt idx="0">
                  <c:v>Total</c:v>
                </c:pt>
              </c:strCache>
            </c:strRef>
          </c:tx>
          <c:dPt>
            <c:idx val="0"/>
            <c:bubble3D val="0"/>
            <c:explosion val="8"/>
            <c:spPr>
              <a:solidFill>
                <a:schemeClr val="accent2"/>
              </a:solidFill>
              <a:ln w="19050">
                <a:solidFill>
                  <a:schemeClr val="lt1"/>
                </a:solidFill>
              </a:ln>
              <a:effectLst/>
            </c:spPr>
            <c:extLst>
              <c:ext xmlns:c16="http://schemas.microsoft.com/office/drawing/2014/chart" uri="{C3380CC4-5D6E-409C-BE32-E72D297353CC}">
                <c16:uniqueId val="{00000001-64D8-4C5C-9501-98276691931F}"/>
              </c:ext>
            </c:extLst>
          </c:dPt>
          <c:dPt>
            <c:idx val="1"/>
            <c:bubble3D val="0"/>
            <c:explosion val="10"/>
            <c:spPr>
              <a:solidFill>
                <a:schemeClr val="accent4"/>
              </a:solidFill>
              <a:ln w="19050">
                <a:solidFill>
                  <a:schemeClr val="lt1"/>
                </a:solidFill>
              </a:ln>
              <a:effectLst/>
            </c:spPr>
            <c:extLst>
              <c:ext xmlns:c16="http://schemas.microsoft.com/office/drawing/2014/chart" uri="{C3380CC4-5D6E-409C-BE32-E72D297353CC}">
                <c16:uniqueId val="{00000003-64D8-4C5C-9501-98276691931F}"/>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64D8-4C5C-9501-98276691931F}"/>
              </c:ext>
            </c:extLst>
          </c:dPt>
          <c:dLbls>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64D8-4C5C-9501-98276691931F}"/>
                </c:ext>
              </c:extLst>
            </c:dLbl>
            <c:dLbl>
              <c:idx val="1"/>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64D8-4C5C-9501-98276691931F}"/>
                </c:ext>
              </c:extLst>
            </c:dLbl>
            <c:dLbl>
              <c:idx val="2"/>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64D8-4C5C-9501-98276691931F}"/>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PVSheet!$A$16:$A$19</c:f>
              <c:strCache>
                <c:ptCount val="3"/>
                <c:pt idx="0">
                  <c:v>Adults (35-64)</c:v>
                </c:pt>
                <c:pt idx="1">
                  <c:v>Young Adults (25-34)</c:v>
                </c:pt>
                <c:pt idx="2">
                  <c:v>Youth (&lt;25)</c:v>
                </c:pt>
              </c:strCache>
            </c:strRef>
          </c:cat>
          <c:val>
            <c:numRef>
              <c:f>PVSheet!$B$16:$B$19</c:f>
              <c:numCache>
                <c:formatCode>General</c:formatCode>
                <c:ptCount val="3"/>
                <c:pt idx="0">
                  <c:v>203421</c:v>
                </c:pt>
                <c:pt idx="1">
                  <c:v>119646</c:v>
                </c:pt>
                <c:pt idx="2">
                  <c:v>35330</c:v>
                </c:pt>
              </c:numCache>
            </c:numRef>
          </c:val>
          <c:extLst>
            <c:ext xmlns:c16="http://schemas.microsoft.com/office/drawing/2014/chart" uri="{C3380CC4-5D6E-409C-BE32-E72D297353CC}">
              <c16:uniqueId val="{00000006-64D8-4C5C-9501-98276691931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[VBA-US-BikeSales.xlsm]PVSheet!PivotTable6</c:name>
    <c:fmtId val="8"/>
  </c:pivotSource>
  <c:chart>
    <c:title>
      <c:tx>
        <c:rich>
          <a:bodyPr rot="0" spcFirstLastPara="1" vertOverflow="ellipsis" vert="horz" wrap="square" anchor="ctr" anchorCtr="1"/>
          <a:lstStyle/>
          <a:p>
            <a:pPr>
              <a:defRPr sz="1400" b="1" i="1" u="none" strike="noStrike" kern="1200" spc="0" baseline="0">
                <a:solidFill>
                  <a:srgbClr val="FF0000"/>
                </a:solidFill>
                <a:latin typeface="+mn-lt"/>
                <a:ea typeface="+mn-ea"/>
                <a:cs typeface="+mn-cs"/>
              </a:defRPr>
            </a:pPr>
            <a:r>
              <a:rPr lang="en-US" b="1" i="1">
                <a:solidFill>
                  <a:srgbClr val="FF0000"/>
                </a:solidFill>
              </a:rPr>
              <a:t>Sales by Product Type</a:t>
            </a:r>
          </a:p>
        </c:rich>
      </c:tx>
      <c:layout>
        <c:manualLayout>
          <c:xMode val="edge"/>
          <c:yMode val="edge"/>
          <c:x val="0.45916666666666667"/>
          <c:y val="3.7037037037037035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PVSheet!$B$8</c:f>
              <c:strCache>
                <c:ptCount val="1"/>
                <c:pt idx="0">
                  <c:v>Total</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PVSheet!$A$9:$A$13</c:f>
              <c:strCache>
                <c:ptCount val="4"/>
                <c:pt idx="0">
                  <c:v>Mountain-100</c:v>
                </c:pt>
                <c:pt idx="1">
                  <c:v>Mountain-200</c:v>
                </c:pt>
                <c:pt idx="2">
                  <c:v>Mountain-400-W</c:v>
                </c:pt>
                <c:pt idx="3">
                  <c:v>Mountain-500</c:v>
                </c:pt>
              </c:strCache>
            </c:strRef>
          </c:cat>
          <c:val>
            <c:numRef>
              <c:f>PVSheet!$B$9:$B$13</c:f>
              <c:numCache>
                <c:formatCode>General</c:formatCode>
                <c:ptCount val="4"/>
                <c:pt idx="0">
                  <c:v>37150</c:v>
                </c:pt>
                <c:pt idx="1">
                  <c:v>288125</c:v>
                </c:pt>
                <c:pt idx="2">
                  <c:v>21532</c:v>
                </c:pt>
                <c:pt idx="3">
                  <c:v>11590</c:v>
                </c:pt>
              </c:numCache>
            </c:numRef>
          </c:val>
          <c:extLst>
            <c:ext xmlns:c16="http://schemas.microsoft.com/office/drawing/2014/chart" uri="{C3380CC4-5D6E-409C-BE32-E72D297353CC}">
              <c16:uniqueId val="{00000000-DE0A-40F3-AB2C-5915F931A6F0}"/>
            </c:ext>
          </c:extLst>
        </c:ser>
        <c:dLbls>
          <c:showLegendKey val="0"/>
          <c:showVal val="0"/>
          <c:showCatName val="0"/>
          <c:showSerName val="0"/>
          <c:showPercent val="0"/>
          <c:showBubbleSize val="0"/>
        </c:dLbls>
        <c:gapWidth val="219"/>
        <c:overlap val="-27"/>
        <c:axId val="509353247"/>
        <c:axId val="509351167"/>
      </c:barChart>
      <c:catAx>
        <c:axId val="509353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09351167"/>
        <c:crosses val="autoZero"/>
        <c:auto val="1"/>
        <c:lblAlgn val="ctr"/>
        <c:lblOffset val="100"/>
        <c:noMultiLvlLbl val="0"/>
      </c:catAx>
      <c:valAx>
        <c:axId val="5093511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09353247"/>
        <c:crosses val="autoZero"/>
        <c:crossBetween val="between"/>
        <c:majorUnit val="3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[VBA-US-BikeSales.xlsm]PVSheet!PivotTable8</c:name>
    <c:fmtId val="9"/>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Sales by Week</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PVSheet!$B$21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PVSheet!$A$22:$A$26</c:f>
              <c:strCache>
                <c:ptCount val="4"/>
                <c:pt idx="0">
                  <c:v>1</c:v>
                </c:pt>
                <c:pt idx="1">
                  <c:v>2</c:v>
                </c:pt>
                <c:pt idx="2">
                  <c:v>3</c:v>
                </c:pt>
                <c:pt idx="3">
                  <c:v>4</c:v>
                </c:pt>
              </c:strCache>
            </c:strRef>
          </c:cat>
          <c:val>
            <c:numRef>
              <c:f>PVSheet!$B$22:$B$26</c:f>
              <c:numCache>
                <c:formatCode>General</c:formatCode>
                <c:ptCount val="4"/>
                <c:pt idx="0">
                  <c:v>68266</c:v>
                </c:pt>
                <c:pt idx="1">
                  <c:v>93532</c:v>
                </c:pt>
                <c:pt idx="2">
                  <c:v>160944</c:v>
                </c:pt>
                <c:pt idx="3">
                  <c:v>35655</c:v>
                </c:pt>
              </c:numCache>
            </c:numRef>
          </c:val>
          <c:extLst>
            <c:ext xmlns:c16="http://schemas.microsoft.com/office/drawing/2014/chart" uri="{C3380CC4-5D6E-409C-BE32-E72D297353CC}">
              <c16:uniqueId val="{00000000-F2AC-4145-A1D8-FEB1EAB9755E}"/>
            </c:ext>
          </c:extLst>
        </c:ser>
        <c:dLbls>
          <c:showLegendKey val="0"/>
          <c:showVal val="0"/>
          <c:showCatName val="0"/>
          <c:showSerName val="0"/>
          <c:showPercent val="0"/>
          <c:showBubbleSize val="0"/>
        </c:dLbls>
        <c:gapWidth val="219"/>
        <c:overlap val="-27"/>
        <c:axId val="1432493199"/>
        <c:axId val="1432489871"/>
      </c:barChart>
      <c:catAx>
        <c:axId val="1432493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1432489871"/>
        <c:crosses val="autoZero"/>
        <c:auto val="1"/>
        <c:lblAlgn val="ctr"/>
        <c:lblOffset val="100"/>
        <c:noMultiLvlLbl val="0"/>
      </c:catAx>
      <c:valAx>
        <c:axId val="14324898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32493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[VBA-US-BikeSales.xlsm]PVSheet!PivotTable9</c:name>
    <c:fmtId val="5"/>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Sales by Country</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PVSheet!$B$28</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PVSheet!$A$29:$A$35</c:f>
              <c:strCache>
                <c:ptCount val="6"/>
                <c:pt idx="0">
                  <c:v>Australia</c:v>
                </c:pt>
                <c:pt idx="1">
                  <c:v>Canada</c:v>
                </c:pt>
                <c:pt idx="2">
                  <c:v>France</c:v>
                </c:pt>
                <c:pt idx="3">
                  <c:v>Germany</c:v>
                </c:pt>
                <c:pt idx="4">
                  <c:v>United Kingdom</c:v>
                </c:pt>
                <c:pt idx="5">
                  <c:v>United States</c:v>
                </c:pt>
              </c:strCache>
            </c:strRef>
          </c:cat>
          <c:val>
            <c:numRef>
              <c:f>PVSheet!$B$29:$B$35</c:f>
              <c:numCache>
                <c:formatCode>General</c:formatCode>
                <c:ptCount val="6"/>
                <c:pt idx="0">
                  <c:v>111506</c:v>
                </c:pt>
                <c:pt idx="1">
                  <c:v>20080</c:v>
                </c:pt>
                <c:pt idx="2">
                  <c:v>46175</c:v>
                </c:pt>
                <c:pt idx="3">
                  <c:v>30010</c:v>
                </c:pt>
                <c:pt idx="4">
                  <c:v>19972</c:v>
                </c:pt>
                <c:pt idx="5">
                  <c:v>130654</c:v>
                </c:pt>
              </c:numCache>
            </c:numRef>
          </c:val>
          <c:extLst>
            <c:ext xmlns:c16="http://schemas.microsoft.com/office/drawing/2014/chart" uri="{C3380CC4-5D6E-409C-BE32-E72D297353CC}">
              <c16:uniqueId val="{00000000-72AE-4485-9C75-DE56EFE65897}"/>
            </c:ext>
          </c:extLst>
        </c:ser>
        <c:dLbls>
          <c:showLegendKey val="0"/>
          <c:showVal val="0"/>
          <c:showCatName val="0"/>
          <c:showSerName val="0"/>
          <c:showPercent val="0"/>
          <c:showBubbleSize val="0"/>
        </c:dLbls>
        <c:gapWidth val="219"/>
        <c:overlap val="-27"/>
        <c:axId val="1479191663"/>
        <c:axId val="1479190415"/>
      </c:barChart>
      <c:catAx>
        <c:axId val="1479191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1479190415"/>
        <c:crosses val="autoZero"/>
        <c:auto val="1"/>
        <c:lblAlgn val="ctr"/>
        <c:lblOffset val="100"/>
        <c:noMultiLvlLbl val="0"/>
      </c:catAx>
      <c:valAx>
        <c:axId val="1479190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79191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7</xdr:col>
      <xdr:colOff>152399</xdr:colOff>
      <xdr:row>6</xdr:row>
      <xdr:rowOff>80962</xdr:rowOff>
    </xdr:from>
    <xdr:to>
      <xdr:col>20</xdr:col>
      <xdr:colOff>104775</xdr:colOff>
      <xdr:row>26</xdr:row>
      <xdr:rowOff>133350</xdr:rowOff>
    </xdr:to>
    <xdr:graphicFrame macro="">
      <xdr:nvGraphicFramePr>
        <xdr:cNvPr id="2" name="Chart 1">
          <a:extLst>
            <a:ext uri="{FF2B5EF4-FFF2-40B4-BE49-F238E27FC236}">
              <a16:creationId xmlns:a16="http://schemas.microsoft.com/office/drawing/2014/main" id="{19A348E0-C1C2-455D-A126-14A46E0C7E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95249</xdr:colOff>
      <xdr:row>2</xdr:row>
      <xdr:rowOff>180975</xdr:rowOff>
    </xdr:from>
    <xdr:to>
      <xdr:col>2</xdr:col>
      <xdr:colOff>85724</xdr:colOff>
      <xdr:row>7</xdr:row>
      <xdr:rowOff>171450</xdr:rowOff>
    </xdr:to>
    <mc:AlternateContent xmlns:mc="http://schemas.openxmlformats.org/markup-compatibility/2006">
      <mc:Choice xmlns:a14="http://schemas.microsoft.com/office/drawing/2010/main" Requires="a14">
        <xdr:graphicFrame macro="">
          <xdr:nvGraphicFramePr>
            <xdr:cNvPr id="6" name="Customer_Gender 1">
              <a:extLst>
                <a:ext uri="{FF2B5EF4-FFF2-40B4-BE49-F238E27FC236}">
                  <a16:creationId xmlns:a16="http://schemas.microsoft.com/office/drawing/2014/main" id="{FA423F5A-9C55-44D8-92DC-77A9E4557ED5}"/>
                </a:ext>
              </a:extLst>
            </xdr:cNvPr>
            <xdr:cNvGraphicFramePr/>
          </xdr:nvGraphicFramePr>
          <xdr:xfrm>
            <a:off x="0" y="0"/>
            <a:ext cx="0" cy="0"/>
          </xdr:xfrm>
          <a:graphic>
            <a:graphicData uri="http://schemas.microsoft.com/office/drawing/2010/slicer">
              <sle:slicer xmlns:sle="http://schemas.microsoft.com/office/drawing/2010/slicer" name="Customer_Gender 1"/>
            </a:graphicData>
          </a:graphic>
        </xdr:graphicFrame>
      </mc:Choice>
      <mc:Fallback>
        <xdr:sp macro="" textlink="">
          <xdr:nvSpPr>
            <xdr:cNvPr id="0" name=""/>
            <xdr:cNvSpPr>
              <a:spLocks noTextEdit="1"/>
            </xdr:cNvSpPr>
          </xdr:nvSpPr>
          <xdr:spPr>
            <a:xfrm>
              <a:off x="95249" y="561975"/>
              <a:ext cx="1209675"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16</xdr:row>
      <xdr:rowOff>47626</xdr:rowOff>
    </xdr:from>
    <xdr:to>
      <xdr:col>2</xdr:col>
      <xdr:colOff>409575</xdr:colOff>
      <xdr:row>21</xdr:row>
      <xdr:rowOff>104775</xdr:rowOff>
    </xdr:to>
    <mc:AlternateContent xmlns:mc="http://schemas.openxmlformats.org/markup-compatibility/2006">
      <mc:Choice xmlns:a14="http://schemas.microsoft.com/office/drawing/2010/main" Requires="a14">
        <xdr:graphicFrame macro="">
          <xdr:nvGraphicFramePr>
            <xdr:cNvPr id="7" name="Age_Group 1">
              <a:extLst>
                <a:ext uri="{FF2B5EF4-FFF2-40B4-BE49-F238E27FC236}">
                  <a16:creationId xmlns:a16="http://schemas.microsoft.com/office/drawing/2014/main" id="{4F4B9FC6-C171-40B4-AE66-E011C9DF4D9B}"/>
                </a:ext>
              </a:extLst>
            </xdr:cNvPr>
            <xdr:cNvGraphicFramePr/>
          </xdr:nvGraphicFramePr>
          <xdr:xfrm>
            <a:off x="0" y="0"/>
            <a:ext cx="0" cy="0"/>
          </xdr:xfrm>
          <a:graphic>
            <a:graphicData uri="http://schemas.microsoft.com/office/drawing/2010/slicer">
              <sle:slicer xmlns:sle="http://schemas.microsoft.com/office/drawing/2010/slicer" name="Age_Group 1"/>
            </a:graphicData>
          </a:graphic>
        </xdr:graphicFrame>
      </mc:Choice>
      <mc:Fallback>
        <xdr:sp macro="" textlink="">
          <xdr:nvSpPr>
            <xdr:cNvPr id="0" name=""/>
            <xdr:cNvSpPr>
              <a:spLocks noTextEdit="1"/>
            </xdr:cNvSpPr>
          </xdr:nvSpPr>
          <xdr:spPr>
            <a:xfrm>
              <a:off x="190500" y="3095626"/>
              <a:ext cx="1438275" cy="10096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190500</xdr:colOff>
      <xdr:row>3</xdr:row>
      <xdr:rowOff>19050</xdr:rowOff>
    </xdr:from>
    <xdr:to>
      <xdr:col>5</xdr:col>
      <xdr:colOff>85725</xdr:colOff>
      <xdr:row>9</xdr:row>
      <xdr:rowOff>66675</xdr:rowOff>
    </xdr:to>
    <mc:AlternateContent xmlns:mc="http://schemas.openxmlformats.org/markup-compatibility/2006">
      <mc:Choice xmlns:a14="http://schemas.microsoft.com/office/drawing/2010/main" Requires="a14">
        <xdr:graphicFrame macro="">
          <xdr:nvGraphicFramePr>
            <xdr:cNvPr id="8" name="Product_Type 2">
              <a:extLst>
                <a:ext uri="{FF2B5EF4-FFF2-40B4-BE49-F238E27FC236}">
                  <a16:creationId xmlns:a16="http://schemas.microsoft.com/office/drawing/2014/main" id="{70F1EBB9-9DAD-424A-BAF1-E875CC2DBE63}"/>
                </a:ext>
              </a:extLst>
            </xdr:cNvPr>
            <xdr:cNvGraphicFramePr/>
          </xdr:nvGraphicFramePr>
          <xdr:xfrm>
            <a:off x="0" y="0"/>
            <a:ext cx="0" cy="0"/>
          </xdr:xfrm>
          <a:graphic>
            <a:graphicData uri="http://schemas.microsoft.com/office/drawing/2010/slicer">
              <sle:slicer xmlns:sle="http://schemas.microsoft.com/office/drawing/2010/slicer" name="Product_Type 2"/>
            </a:graphicData>
          </a:graphic>
        </xdr:graphicFrame>
      </mc:Choice>
      <mc:Fallback>
        <xdr:sp macro="" textlink="">
          <xdr:nvSpPr>
            <xdr:cNvPr id="0" name=""/>
            <xdr:cNvSpPr>
              <a:spLocks noTextEdit="1"/>
            </xdr:cNvSpPr>
          </xdr:nvSpPr>
          <xdr:spPr>
            <a:xfrm>
              <a:off x="1409700" y="590550"/>
              <a:ext cx="1724025"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304799</xdr:colOff>
      <xdr:row>2</xdr:row>
      <xdr:rowOff>180976</xdr:rowOff>
    </xdr:from>
    <xdr:to>
      <xdr:col>8</xdr:col>
      <xdr:colOff>9525</xdr:colOff>
      <xdr:row>9</xdr:row>
      <xdr:rowOff>57150</xdr:rowOff>
    </xdr:to>
    <mc:AlternateContent xmlns:mc="http://schemas.openxmlformats.org/markup-compatibility/2006" xmlns:a14="http://schemas.microsoft.com/office/drawing/2010/main">
      <mc:Choice Requires="a14">
        <xdr:graphicFrame macro="">
          <xdr:nvGraphicFramePr>
            <xdr:cNvPr id="9" name="WeekNumber">
              <a:extLst>
                <a:ext uri="{FF2B5EF4-FFF2-40B4-BE49-F238E27FC236}">
                  <a16:creationId xmlns:a16="http://schemas.microsoft.com/office/drawing/2014/main" id="{4994C775-01CB-4D59-A517-9FC93839C6DB}"/>
                </a:ext>
              </a:extLst>
            </xdr:cNvPr>
            <xdr:cNvGraphicFramePr/>
          </xdr:nvGraphicFramePr>
          <xdr:xfrm>
            <a:off x="0" y="0"/>
            <a:ext cx="0" cy="0"/>
          </xdr:xfrm>
          <a:graphic>
            <a:graphicData uri="http://schemas.microsoft.com/office/drawing/2010/slicer">
              <sle:slicer xmlns:sle="http://schemas.microsoft.com/office/drawing/2010/slicer" name="WeekNumber"/>
            </a:graphicData>
          </a:graphic>
        </xdr:graphicFrame>
      </mc:Choice>
      <mc:Fallback xmlns="">
        <xdr:sp macro="" textlink="">
          <xdr:nvSpPr>
            <xdr:cNvPr id="0" name=""/>
            <xdr:cNvSpPr>
              <a:spLocks noTextEdit="1"/>
            </xdr:cNvSpPr>
          </xdr:nvSpPr>
          <xdr:spPr>
            <a:xfrm>
              <a:off x="3352799" y="561976"/>
              <a:ext cx="1533526" cy="1428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209548</xdr:colOff>
      <xdr:row>3</xdr:row>
      <xdr:rowOff>38100</xdr:rowOff>
    </xdr:from>
    <xdr:to>
      <xdr:col>21</xdr:col>
      <xdr:colOff>361948</xdr:colOff>
      <xdr:row>15</xdr:row>
      <xdr:rowOff>38100</xdr:rowOff>
    </xdr:to>
    <xdr:graphicFrame macro="">
      <xdr:nvGraphicFramePr>
        <xdr:cNvPr id="15" name="Chart 14">
          <a:extLst>
            <a:ext uri="{FF2B5EF4-FFF2-40B4-BE49-F238E27FC236}">
              <a16:creationId xmlns:a16="http://schemas.microsoft.com/office/drawing/2014/main" id="{733C7C1B-CBF9-47DE-A3B3-70D83A218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581024</xdr:colOff>
      <xdr:row>16</xdr:row>
      <xdr:rowOff>28575</xdr:rowOff>
    </xdr:from>
    <xdr:to>
      <xdr:col>8</xdr:col>
      <xdr:colOff>123824</xdr:colOff>
      <xdr:row>27</xdr:row>
      <xdr:rowOff>66675</xdr:rowOff>
    </xdr:to>
    <xdr:graphicFrame macro="">
      <xdr:nvGraphicFramePr>
        <xdr:cNvPr id="16" name="Chart 15">
          <a:extLst>
            <a:ext uri="{FF2B5EF4-FFF2-40B4-BE49-F238E27FC236}">
              <a16:creationId xmlns:a16="http://schemas.microsoft.com/office/drawing/2014/main" id="{E90A16B5-6D6E-4E04-B878-035E44B39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314325</xdr:colOff>
      <xdr:row>3</xdr:row>
      <xdr:rowOff>19050</xdr:rowOff>
    </xdr:from>
    <xdr:to>
      <xdr:col>16</xdr:col>
      <xdr:colOff>9525</xdr:colOff>
      <xdr:row>15</xdr:row>
      <xdr:rowOff>57150</xdr:rowOff>
    </xdr:to>
    <xdr:graphicFrame macro="">
      <xdr:nvGraphicFramePr>
        <xdr:cNvPr id="17" name="Chart 16">
          <a:extLst>
            <a:ext uri="{FF2B5EF4-FFF2-40B4-BE49-F238E27FC236}">
              <a16:creationId xmlns:a16="http://schemas.microsoft.com/office/drawing/2014/main" id="{E502F5E2-8BE8-4A47-9B3E-903C9B8E0C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228600</xdr:colOff>
      <xdr:row>15</xdr:row>
      <xdr:rowOff>180975</xdr:rowOff>
    </xdr:from>
    <xdr:to>
      <xdr:col>21</xdr:col>
      <xdr:colOff>381000</xdr:colOff>
      <xdr:row>26</xdr:row>
      <xdr:rowOff>152400</xdr:rowOff>
    </xdr:to>
    <xdr:graphicFrame macro="">
      <xdr:nvGraphicFramePr>
        <xdr:cNvPr id="18" name="Chart 17">
          <a:extLst>
            <a:ext uri="{FF2B5EF4-FFF2-40B4-BE49-F238E27FC236}">
              <a16:creationId xmlns:a16="http://schemas.microsoft.com/office/drawing/2014/main" id="{93CE0F7C-7EC4-40CF-BB50-568E12881E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304799</xdr:colOff>
      <xdr:row>16</xdr:row>
      <xdr:rowOff>9525</xdr:rowOff>
    </xdr:from>
    <xdr:to>
      <xdr:col>16</xdr:col>
      <xdr:colOff>28574</xdr:colOff>
      <xdr:row>27</xdr:row>
      <xdr:rowOff>66675</xdr:rowOff>
    </xdr:to>
    <xdr:graphicFrame macro="">
      <xdr:nvGraphicFramePr>
        <xdr:cNvPr id="19" name="Chart 18">
          <a:extLst>
            <a:ext uri="{FF2B5EF4-FFF2-40B4-BE49-F238E27FC236}">
              <a16:creationId xmlns:a16="http://schemas.microsoft.com/office/drawing/2014/main" id="{F8F33195-1412-41C9-865C-319790E1C3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57150</xdr:colOff>
      <xdr:row>9</xdr:row>
      <xdr:rowOff>114300</xdr:rowOff>
    </xdr:from>
    <xdr:to>
      <xdr:col>8</xdr:col>
      <xdr:colOff>9525</xdr:colOff>
      <xdr:row>15</xdr:row>
      <xdr:rowOff>114300</xdr:rowOff>
    </xdr:to>
    <mc:AlternateContent xmlns:mc="http://schemas.openxmlformats.org/markup-compatibility/2006">
      <mc:Choice xmlns:a14="http://schemas.microsoft.com/office/drawing/2010/main" Requires="a14">
        <xdr:graphicFrame macro="">
          <xdr:nvGraphicFramePr>
            <xdr:cNvPr id="20" name="Country">
              <a:extLst>
                <a:ext uri="{FF2B5EF4-FFF2-40B4-BE49-F238E27FC236}">
                  <a16:creationId xmlns:a16="http://schemas.microsoft.com/office/drawing/2014/main" id="{5AF2E2FA-844C-46C7-AEC0-BFDE9DEA7F6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57150" y="1828800"/>
              <a:ext cx="4829175"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457200</xdr:colOff>
      <xdr:row>0</xdr:row>
      <xdr:rowOff>76200</xdr:rowOff>
    </xdr:from>
    <xdr:to>
      <xdr:col>17</xdr:col>
      <xdr:colOff>533400</xdr:colOff>
      <xdr:row>2</xdr:row>
      <xdr:rowOff>152400</xdr:rowOff>
    </xdr:to>
    <xdr:sp macro="" textlink="">
      <xdr:nvSpPr>
        <xdr:cNvPr id="21" name="Rectangle: Rounded Corners 20">
          <a:extLst>
            <a:ext uri="{FF2B5EF4-FFF2-40B4-BE49-F238E27FC236}">
              <a16:creationId xmlns:a16="http://schemas.microsoft.com/office/drawing/2014/main" id="{407FA21E-2195-4321-B3C9-D7EEE4B468AF}"/>
            </a:ext>
          </a:extLst>
        </xdr:cNvPr>
        <xdr:cNvSpPr/>
      </xdr:nvSpPr>
      <xdr:spPr>
        <a:xfrm>
          <a:off x="2286000" y="76200"/>
          <a:ext cx="8610600" cy="457200"/>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1"/>
            <a:t>Bike</a:t>
          </a:r>
          <a:r>
            <a:rPr lang="en-US" sz="1600" b="1" i="1" baseline="0"/>
            <a:t> Sales Dashboard</a:t>
          </a:r>
          <a:endParaRPr lang="en-US" sz="1400" b="1" i="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llie Paturi" refreshedDate="45561.649931712964" createdVersion="7" refreshedVersion="7" minRefreshableVersion="3" recordCount="87" xr:uid="{A54438BC-B5E0-4F9C-B58C-C0A6E9278B9C}">
  <cacheSource type="worksheet">
    <worksheetSource name="BikeSales"/>
  </cacheSource>
  <cacheFields count="18">
    <cacheField name="Sales_Order #" numFmtId="0">
      <sharedItems containsSemiMixedTypes="0" containsString="0" containsNumber="1" containsInteger="1" minValue="261695" maxValue="261782"/>
    </cacheField>
    <cacheField name="Date" numFmtId="14">
      <sharedItems containsSemiMixedTypes="0" containsNonDate="0" containsDate="1" containsString="0" minDate="2021-12-01T00:00:00" maxDate="2021-12-25T00:00:00"/>
    </cacheField>
    <cacheField name="WeekNumber" numFmtId="1">
      <sharedItems containsSemiMixedTypes="0" containsString="0" containsNumber="1" containsInteger="1" minValue="1" maxValue="4" count="4">
        <n v="1"/>
        <n v="2"/>
        <n v="3"/>
        <n v="4"/>
      </sharedItems>
    </cacheField>
    <cacheField name="Day" numFmtId="0">
      <sharedItems containsSemiMixedTypes="0" containsString="0" containsNumber="1" containsInteger="1" minValue="1" maxValue="24"/>
    </cacheField>
    <cacheField name="Month" numFmtId="0">
      <sharedItems/>
    </cacheField>
    <cacheField name="Year" numFmtId="0">
      <sharedItems containsSemiMixedTypes="0" containsString="0" containsNumber="1" containsInteger="1" minValue="2021" maxValue="2021"/>
    </cacheField>
    <cacheField name="Customer_Age" numFmtId="0">
      <sharedItems containsSemiMixedTypes="0" containsString="0" containsNumber="1" containsInteger="1" minValue="17" maxValue="63"/>
    </cacheField>
    <cacheField name="Age_Group" numFmtId="0">
      <sharedItems count="3">
        <s v="Adults (35-64)"/>
        <s v="Young Adults (25-34)"/>
        <s v="Youth (&lt;25)"/>
      </sharedItems>
    </cacheField>
    <cacheField name="Customer_Gender" numFmtId="0">
      <sharedItems count="2">
        <s v="F"/>
        <s v="M"/>
      </sharedItems>
    </cacheField>
    <cacheField name="Country" numFmtId="0">
      <sharedItems count="6">
        <s v="United States"/>
        <s v="United Kingdom"/>
        <s v="Australia"/>
        <s v="Germany"/>
        <s v="Canada"/>
        <s v="France"/>
      </sharedItems>
    </cacheField>
    <cacheField name="State" numFmtId="0">
      <sharedItems/>
    </cacheField>
    <cacheField name="Product_Type" numFmtId="0">
      <sharedItems count="4">
        <s v="Mountain-200"/>
        <s v="Mountain-400-W"/>
        <s v="Mountain-500"/>
        <s v="Mountain-100"/>
      </sharedItems>
    </cacheField>
    <cacheField name="Product_Color" numFmtId="0">
      <sharedItems/>
    </cacheField>
    <cacheField name="Product_Size" numFmtId="0">
      <sharedItems containsSemiMixedTypes="0" containsString="0" containsNumber="1" containsInteger="1" minValue="38" maxValue="52"/>
    </cacheField>
    <cacheField name="Order_Quantity" numFmtId="0">
      <sharedItems containsSemiMixedTypes="0" containsString="0" containsNumber="1" containsInteger="1" minValue="1" maxValue="4"/>
    </cacheField>
    <cacheField name="Total Cost" numFmtId="0">
      <sharedItems containsSemiMixedTypes="0" containsString="0" containsNumber="1" containsInteger="1" minValue="295" maxValue="7592"/>
    </cacheField>
    <cacheField name="Sales" numFmtId="0">
      <sharedItems containsSemiMixedTypes="0" containsString="0" containsNumber="1" containsInteger="1" minValue="540" maxValue="13500"/>
    </cacheField>
    <cacheField name="Profit" numFmtId="0">
      <sharedItems containsSemiMixedTypes="0" containsString="0" containsNumber="1" containsInteger="1" minValue="245" maxValue="5908"/>
    </cacheField>
  </cacheFields>
  <extLst>
    <ext xmlns:x14="http://schemas.microsoft.com/office/spreadsheetml/2009/9/main" uri="{725AE2AE-9491-48be-B2B4-4EB974FC3084}">
      <x14:pivotCacheDefinition pivotCacheId="142383710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llie Paturi" refreshedDate="45561.649933101849" createdVersion="7" refreshedVersion="7" minRefreshableVersion="3" recordCount="87" xr:uid="{FEBE62BD-842C-4452-A31E-F8C61F492572}">
  <cacheSource type="worksheet">
    <worksheetSource name="BikeSales"/>
  </cacheSource>
  <cacheFields count="18">
    <cacheField name="Sales_Order #" numFmtId="0">
      <sharedItems containsSemiMixedTypes="0" containsString="0" containsNumber="1" containsInteger="1" minValue="261695" maxValue="261782"/>
    </cacheField>
    <cacheField name="Date" numFmtId="14">
      <sharedItems containsSemiMixedTypes="0" containsNonDate="0" containsDate="1" containsString="0" minDate="2021-12-01T00:00:00" maxDate="2021-12-25T00:00:00"/>
    </cacheField>
    <cacheField name="WeekNumber" numFmtId="1">
      <sharedItems containsSemiMixedTypes="0" containsString="0" containsNumber="1" containsInteger="1" minValue="1" maxValue="4"/>
    </cacheField>
    <cacheField name="Day" numFmtId="0">
      <sharedItems containsSemiMixedTypes="0" containsString="0" containsNumber="1" containsInteger="1" minValue="1" maxValue="24"/>
    </cacheField>
    <cacheField name="Month" numFmtId="0">
      <sharedItems/>
    </cacheField>
    <cacheField name="Year" numFmtId="0">
      <sharedItems containsSemiMixedTypes="0" containsString="0" containsNumber="1" containsInteger="1" minValue="2021" maxValue="2021"/>
    </cacheField>
    <cacheField name="Customer_Age" numFmtId="0">
      <sharedItems containsSemiMixedTypes="0" containsString="0" containsNumber="1" containsInteger="1" minValue="17" maxValue="63"/>
    </cacheField>
    <cacheField name="Age_Group" numFmtId="0">
      <sharedItems/>
    </cacheField>
    <cacheField name="Customer_Gender" numFmtId="0">
      <sharedItems count="2">
        <s v="F"/>
        <s v="M"/>
      </sharedItems>
    </cacheField>
    <cacheField name="Country" numFmtId="0">
      <sharedItems count="6">
        <s v="United States"/>
        <s v="United Kingdom"/>
        <s v="Australia"/>
        <s v="Germany"/>
        <s v="Canada"/>
        <s v="France"/>
      </sharedItems>
    </cacheField>
    <cacheField name="State" numFmtId="0">
      <sharedItems count="17">
        <s v="California"/>
        <s v="England"/>
        <s v="New South Wales"/>
        <s v="Washington"/>
        <s v="Nordrhein-Westfalen"/>
        <s v="Queensland"/>
        <s v="British Columbia"/>
        <s v="Victoria"/>
        <s v="Hamburg"/>
        <s v="Seine (Paris)"/>
        <s v="Seine et Marne"/>
        <s v="Seine Saint Denis"/>
        <s v="Nord"/>
        <s v="Oregon"/>
        <s v="South Australia"/>
        <s v="Hessen"/>
        <s v="Somme"/>
      </sharedItems>
    </cacheField>
    <cacheField name="Product_Type" numFmtId="0">
      <sharedItems/>
    </cacheField>
    <cacheField name="Product_Color" numFmtId="0">
      <sharedItems/>
    </cacheField>
    <cacheField name="Product_Size" numFmtId="0">
      <sharedItems containsSemiMixedTypes="0" containsString="0" containsNumber="1" containsInteger="1" minValue="38" maxValue="52"/>
    </cacheField>
    <cacheField name="Order_Quantity" numFmtId="0">
      <sharedItems containsSemiMixedTypes="0" containsString="0" containsNumber="1" containsInteger="1" minValue="1" maxValue="4"/>
    </cacheField>
    <cacheField name="Total Cost" numFmtId="0">
      <sharedItems containsSemiMixedTypes="0" containsString="0" containsNumber="1" containsInteger="1" minValue="295" maxValue="7592"/>
    </cacheField>
    <cacheField name="Sales" numFmtId="0">
      <sharedItems containsSemiMixedTypes="0" containsString="0" containsNumber="1" containsInteger="1" minValue="540" maxValue="13500"/>
    </cacheField>
    <cacheField name="Profit" numFmtId="0">
      <sharedItems containsSemiMixedTypes="0" containsString="0" containsNumber="1" containsInteger="1" minValue="245" maxValue="590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n v="261695"/>
    <d v="2021-12-01T00:00:00"/>
    <x v="0"/>
    <n v="1"/>
    <s v="December"/>
    <n v="2021"/>
    <n v="39"/>
    <x v="0"/>
    <x v="0"/>
    <x v="0"/>
    <s v="California"/>
    <x v="0"/>
    <s v="Black"/>
    <n v="46"/>
    <n v="4"/>
    <n v="5008"/>
    <n v="9180"/>
    <n v="4172"/>
  </r>
  <r>
    <n v="261695"/>
    <d v="2021-12-01T00:00:00"/>
    <x v="0"/>
    <n v="1"/>
    <s v="December"/>
    <n v="2021"/>
    <n v="44"/>
    <x v="0"/>
    <x v="1"/>
    <x v="1"/>
    <s v="England"/>
    <x v="0"/>
    <s v="Silver"/>
    <n v="42"/>
    <n v="1"/>
    <n v="1266"/>
    <n v="2320"/>
    <n v="1054"/>
  </r>
  <r>
    <n v="261697"/>
    <d v="2021-12-02T00:00:00"/>
    <x v="0"/>
    <n v="2"/>
    <s v="December"/>
    <n v="2021"/>
    <n v="37"/>
    <x v="0"/>
    <x v="1"/>
    <x v="0"/>
    <s v="California"/>
    <x v="1"/>
    <s v="Silver"/>
    <n v="46"/>
    <n v="2"/>
    <n v="840"/>
    <n v="1538"/>
    <n v="698"/>
  </r>
  <r>
    <n v="261698"/>
    <d v="2021-12-02T00:00:00"/>
    <x v="0"/>
    <n v="2"/>
    <s v="December"/>
    <n v="2021"/>
    <n v="31"/>
    <x v="1"/>
    <x v="0"/>
    <x v="2"/>
    <s v="New South Wales"/>
    <x v="1"/>
    <s v="Silver"/>
    <n v="42"/>
    <n v="1"/>
    <n v="420"/>
    <n v="769"/>
    <n v="349"/>
  </r>
  <r>
    <n v="261699"/>
    <d v="2021-12-03T00:00:00"/>
    <x v="0"/>
    <n v="3"/>
    <s v="December"/>
    <n v="2021"/>
    <n v="37"/>
    <x v="0"/>
    <x v="0"/>
    <x v="0"/>
    <s v="California"/>
    <x v="0"/>
    <s v="Black"/>
    <n v="46"/>
    <n v="2"/>
    <n v="2504"/>
    <n v="4590"/>
    <n v="2086"/>
  </r>
  <r>
    <n v="261700"/>
    <d v="2021-12-03T00:00:00"/>
    <x v="0"/>
    <n v="3"/>
    <s v="December"/>
    <n v="2021"/>
    <n v="24"/>
    <x v="2"/>
    <x v="0"/>
    <x v="1"/>
    <s v="England"/>
    <x v="0"/>
    <s v="Black"/>
    <n v="38"/>
    <n v="1"/>
    <n v="1252"/>
    <n v="2295"/>
    <n v="1043"/>
  </r>
  <r>
    <n v="261701"/>
    <d v="2021-12-03T00:00:00"/>
    <x v="0"/>
    <n v="3"/>
    <s v="December"/>
    <n v="2021"/>
    <n v="37"/>
    <x v="0"/>
    <x v="1"/>
    <x v="0"/>
    <s v="Washington"/>
    <x v="0"/>
    <s v="Black"/>
    <n v="46"/>
    <n v="1"/>
    <n v="1252"/>
    <n v="2295"/>
    <n v="1043"/>
  </r>
  <r>
    <n v="261701"/>
    <d v="2021-12-03T00:00:00"/>
    <x v="0"/>
    <n v="3"/>
    <s v="December"/>
    <n v="2021"/>
    <n v="37"/>
    <x v="0"/>
    <x v="1"/>
    <x v="0"/>
    <s v="Washington"/>
    <x v="0"/>
    <s v="Black"/>
    <n v="46"/>
    <n v="1"/>
    <n v="1252"/>
    <n v="2295"/>
    <n v="1043"/>
  </r>
  <r>
    <n v="261702"/>
    <d v="2021-12-04T00:00:00"/>
    <x v="0"/>
    <n v="4"/>
    <s v="December"/>
    <n v="2021"/>
    <n v="31"/>
    <x v="1"/>
    <x v="0"/>
    <x v="2"/>
    <s v="New South Wales"/>
    <x v="1"/>
    <s v="Silver"/>
    <n v="42"/>
    <n v="4"/>
    <n v="1680"/>
    <n v="3076"/>
    <n v="1396"/>
  </r>
  <r>
    <n v="261703"/>
    <d v="2021-12-05T00:00:00"/>
    <x v="0"/>
    <n v="5"/>
    <s v="December"/>
    <n v="2021"/>
    <n v="39"/>
    <x v="0"/>
    <x v="0"/>
    <x v="0"/>
    <s v="California"/>
    <x v="0"/>
    <s v="Black"/>
    <n v="46"/>
    <n v="4"/>
    <n v="5008"/>
    <n v="9180"/>
    <n v="4172"/>
  </r>
  <r>
    <n v="261704"/>
    <d v="2021-12-05T00:00:00"/>
    <x v="0"/>
    <n v="5"/>
    <s v="December"/>
    <n v="2021"/>
    <n v="42"/>
    <x v="0"/>
    <x v="1"/>
    <x v="3"/>
    <s v="Nordrhein-Westfalen"/>
    <x v="0"/>
    <s v="Black"/>
    <n v="38"/>
    <n v="4"/>
    <n v="5008"/>
    <n v="9180"/>
    <n v="4172"/>
  </r>
  <r>
    <n v="261705"/>
    <d v="2021-12-05T00:00:00"/>
    <x v="0"/>
    <n v="5"/>
    <s v="December"/>
    <n v="2021"/>
    <n v="35"/>
    <x v="0"/>
    <x v="0"/>
    <x v="2"/>
    <s v="Queensland"/>
    <x v="0"/>
    <s v="Silver"/>
    <n v="38"/>
    <n v="1"/>
    <n v="1266"/>
    <n v="2320"/>
    <n v="1054"/>
  </r>
  <r>
    <n v="261706"/>
    <d v="2021-12-05T00:00:00"/>
    <x v="0"/>
    <n v="5"/>
    <s v="December"/>
    <n v="2021"/>
    <n v="37"/>
    <x v="0"/>
    <x v="0"/>
    <x v="0"/>
    <s v="California"/>
    <x v="0"/>
    <s v="Black"/>
    <n v="46"/>
    <n v="1"/>
    <n v="1252"/>
    <n v="2295"/>
    <n v="1043"/>
  </r>
  <r>
    <n v="261707"/>
    <d v="2021-12-06T00:00:00"/>
    <x v="0"/>
    <n v="6"/>
    <s v="December"/>
    <n v="2021"/>
    <n v="23"/>
    <x v="2"/>
    <x v="1"/>
    <x v="1"/>
    <s v="England"/>
    <x v="1"/>
    <s v="Silver"/>
    <n v="46"/>
    <n v="3"/>
    <n v="1260"/>
    <n v="2307"/>
    <n v="1047"/>
  </r>
  <r>
    <n v="261708"/>
    <d v="2021-12-06T00:00:00"/>
    <x v="0"/>
    <n v="6"/>
    <s v="December"/>
    <n v="2021"/>
    <n v="27"/>
    <x v="1"/>
    <x v="1"/>
    <x v="4"/>
    <s v="British Columbia"/>
    <x v="0"/>
    <s v="Black"/>
    <n v="46"/>
    <n v="1"/>
    <n v="1252"/>
    <n v="2295"/>
    <n v="1043"/>
  </r>
  <r>
    <n v="261709"/>
    <d v="2021-12-06T00:00:00"/>
    <x v="0"/>
    <n v="6"/>
    <s v="December"/>
    <n v="2021"/>
    <n v="36"/>
    <x v="0"/>
    <x v="1"/>
    <x v="2"/>
    <s v="New South Wales"/>
    <x v="0"/>
    <s v="Black"/>
    <n v="42"/>
    <n v="1"/>
    <n v="1252"/>
    <n v="2295"/>
    <n v="1043"/>
  </r>
  <r>
    <n v="261710"/>
    <d v="2021-12-06T00:00:00"/>
    <x v="0"/>
    <n v="6"/>
    <s v="December"/>
    <n v="2021"/>
    <n v="47"/>
    <x v="0"/>
    <x v="1"/>
    <x v="1"/>
    <s v="England"/>
    <x v="0"/>
    <s v="Silver"/>
    <n v="38"/>
    <n v="1"/>
    <n v="1266"/>
    <n v="2320"/>
    <n v="1054"/>
  </r>
  <r>
    <n v="261711"/>
    <d v="2021-12-07T00:00:00"/>
    <x v="0"/>
    <n v="7"/>
    <s v="December"/>
    <n v="2021"/>
    <n v="30"/>
    <x v="1"/>
    <x v="1"/>
    <x v="0"/>
    <s v="California"/>
    <x v="1"/>
    <s v="Silver"/>
    <n v="38"/>
    <n v="4"/>
    <n v="1680"/>
    <n v="3076"/>
    <n v="1396"/>
  </r>
  <r>
    <n v="261712"/>
    <d v="2021-12-07T00:00:00"/>
    <x v="0"/>
    <n v="7"/>
    <s v="December"/>
    <n v="2021"/>
    <n v="38"/>
    <x v="0"/>
    <x v="1"/>
    <x v="0"/>
    <s v="California"/>
    <x v="0"/>
    <s v="Silver"/>
    <n v="42"/>
    <n v="2"/>
    <n v="2532"/>
    <n v="4640"/>
    <n v="2108"/>
  </r>
  <r>
    <n v="261713"/>
    <d v="2021-12-08T00:00:00"/>
    <x v="1"/>
    <n v="8"/>
    <s v="December"/>
    <n v="2021"/>
    <n v="19"/>
    <x v="2"/>
    <x v="0"/>
    <x v="2"/>
    <s v="New South Wales"/>
    <x v="2"/>
    <s v="Silver"/>
    <n v="42"/>
    <n v="4"/>
    <n v="1232"/>
    <n v="2260"/>
    <n v="1028"/>
  </r>
  <r>
    <n v="261714"/>
    <d v="2021-12-08T00:00:00"/>
    <x v="1"/>
    <n v="8"/>
    <s v="December"/>
    <n v="2021"/>
    <n v="30"/>
    <x v="1"/>
    <x v="0"/>
    <x v="4"/>
    <s v="British Columbia"/>
    <x v="0"/>
    <s v="Silver"/>
    <n v="38"/>
    <n v="4"/>
    <n v="5064"/>
    <n v="9280"/>
    <n v="4216"/>
  </r>
  <r>
    <n v="261717"/>
    <d v="2021-12-09T00:00:00"/>
    <x v="1"/>
    <n v="9"/>
    <s v="December"/>
    <n v="2021"/>
    <n v="33"/>
    <x v="1"/>
    <x v="0"/>
    <x v="2"/>
    <s v="Victoria"/>
    <x v="3"/>
    <s v="Black"/>
    <n v="38"/>
    <n v="2"/>
    <n v="3796"/>
    <n v="6750"/>
    <n v="2954"/>
  </r>
  <r>
    <n v="261718"/>
    <d v="2021-12-09T00:00:00"/>
    <x v="1"/>
    <n v="9"/>
    <s v="December"/>
    <n v="2021"/>
    <n v="41"/>
    <x v="0"/>
    <x v="0"/>
    <x v="3"/>
    <s v="Hamburg"/>
    <x v="0"/>
    <s v="Silver"/>
    <n v="42"/>
    <n v="1"/>
    <n v="1266"/>
    <n v="2320"/>
    <n v="1054"/>
  </r>
  <r>
    <n v="261719"/>
    <d v="2021-12-10T00:00:00"/>
    <x v="1"/>
    <n v="10"/>
    <s v="December"/>
    <n v="2021"/>
    <n v="34"/>
    <x v="1"/>
    <x v="0"/>
    <x v="0"/>
    <s v="California"/>
    <x v="0"/>
    <s v="Black"/>
    <n v="42"/>
    <n v="2"/>
    <n v="2504"/>
    <n v="4590"/>
    <n v="2086"/>
  </r>
  <r>
    <n v="261720"/>
    <d v="2021-12-10T00:00:00"/>
    <x v="1"/>
    <n v="10"/>
    <s v="December"/>
    <n v="2021"/>
    <n v="40"/>
    <x v="0"/>
    <x v="1"/>
    <x v="2"/>
    <s v="New South Wales"/>
    <x v="0"/>
    <s v="Black"/>
    <n v="42"/>
    <n v="2"/>
    <n v="2504"/>
    <n v="4590"/>
    <n v="2086"/>
  </r>
  <r>
    <n v="261721"/>
    <d v="2021-12-10T00:00:00"/>
    <x v="1"/>
    <n v="10"/>
    <s v="December"/>
    <n v="2021"/>
    <n v="26"/>
    <x v="1"/>
    <x v="1"/>
    <x v="1"/>
    <s v="England"/>
    <x v="0"/>
    <s v="Black"/>
    <n v="38"/>
    <n v="1"/>
    <n v="1252"/>
    <n v="2295"/>
    <n v="1043"/>
  </r>
  <r>
    <n v="261722"/>
    <d v="2021-12-10T00:00:00"/>
    <x v="1"/>
    <n v="10"/>
    <s v="December"/>
    <n v="2021"/>
    <n v="34"/>
    <x v="1"/>
    <x v="1"/>
    <x v="0"/>
    <s v="California"/>
    <x v="2"/>
    <s v="Black"/>
    <n v="40"/>
    <n v="1"/>
    <n v="295"/>
    <n v="540"/>
    <n v="245"/>
  </r>
  <r>
    <n v="261723"/>
    <d v="2021-12-10T00:00:00"/>
    <x v="1"/>
    <n v="10"/>
    <s v="December"/>
    <n v="2021"/>
    <n v="34"/>
    <x v="1"/>
    <x v="0"/>
    <x v="0"/>
    <s v="Washington"/>
    <x v="3"/>
    <s v="Silver"/>
    <n v="44"/>
    <n v="1"/>
    <n v="1912"/>
    <n v="3400"/>
    <n v="1488"/>
  </r>
  <r>
    <n v="261724"/>
    <d v="2021-12-10T00:00:00"/>
    <x v="1"/>
    <n v="10"/>
    <s v="December"/>
    <n v="2021"/>
    <n v="38"/>
    <x v="0"/>
    <x v="1"/>
    <x v="2"/>
    <s v="New South Wales"/>
    <x v="0"/>
    <s v="Black"/>
    <n v="38"/>
    <n v="1"/>
    <n v="1252"/>
    <n v="2295"/>
    <n v="1043"/>
  </r>
  <r>
    <n v="261725"/>
    <d v="2021-12-11T00:00:00"/>
    <x v="1"/>
    <n v="11"/>
    <s v="December"/>
    <n v="2021"/>
    <n v="24"/>
    <x v="2"/>
    <x v="0"/>
    <x v="5"/>
    <s v="Seine (Paris)"/>
    <x v="0"/>
    <s v="Black"/>
    <n v="38"/>
    <n v="3"/>
    <n v="3756"/>
    <n v="6885"/>
    <n v="3129"/>
  </r>
  <r>
    <n v="261726"/>
    <d v="2021-12-11T00:00:00"/>
    <x v="1"/>
    <n v="11"/>
    <s v="December"/>
    <n v="2021"/>
    <n v="41"/>
    <x v="0"/>
    <x v="0"/>
    <x v="2"/>
    <s v="New South Wales"/>
    <x v="1"/>
    <s v="Silver"/>
    <n v="38"/>
    <n v="2"/>
    <n v="840"/>
    <n v="1538"/>
    <n v="698"/>
  </r>
  <r>
    <n v="261727"/>
    <d v="2021-12-11T00:00:00"/>
    <x v="1"/>
    <n v="11"/>
    <s v="December"/>
    <n v="2021"/>
    <n v="27"/>
    <x v="1"/>
    <x v="1"/>
    <x v="4"/>
    <s v="British Columbia"/>
    <x v="0"/>
    <s v="Black"/>
    <n v="46"/>
    <n v="1"/>
    <n v="1252"/>
    <n v="2295"/>
    <n v="1043"/>
  </r>
  <r>
    <n v="261728"/>
    <d v="2021-12-11T00:00:00"/>
    <x v="1"/>
    <n v="11"/>
    <s v="December"/>
    <n v="2021"/>
    <n v="37"/>
    <x v="0"/>
    <x v="1"/>
    <x v="0"/>
    <s v="California"/>
    <x v="1"/>
    <s v="Silver"/>
    <n v="46"/>
    <n v="1"/>
    <n v="420"/>
    <n v="769"/>
    <n v="349"/>
  </r>
  <r>
    <n v="261729"/>
    <d v="2021-12-11T00:00:00"/>
    <x v="1"/>
    <n v="11"/>
    <s v="December"/>
    <n v="2021"/>
    <n v="38"/>
    <x v="0"/>
    <x v="0"/>
    <x v="0"/>
    <s v="California"/>
    <x v="0"/>
    <s v="Silver"/>
    <n v="38"/>
    <n v="1"/>
    <n v="1266"/>
    <n v="2320"/>
    <n v="1054"/>
  </r>
  <r>
    <n v="261730"/>
    <d v="2021-12-12T00:00:00"/>
    <x v="1"/>
    <n v="12"/>
    <s v="December"/>
    <n v="2021"/>
    <n v="36"/>
    <x v="0"/>
    <x v="0"/>
    <x v="2"/>
    <s v="New South Wales"/>
    <x v="0"/>
    <s v="Silver"/>
    <n v="42"/>
    <n v="4"/>
    <n v="5064"/>
    <n v="9280"/>
    <n v="4216"/>
  </r>
  <r>
    <n v="261731"/>
    <d v="2021-12-12T00:00:00"/>
    <x v="1"/>
    <n v="12"/>
    <s v="December"/>
    <n v="2021"/>
    <n v="37"/>
    <x v="0"/>
    <x v="1"/>
    <x v="0"/>
    <s v="California"/>
    <x v="1"/>
    <s v="Silver"/>
    <n v="46"/>
    <n v="4"/>
    <n v="1680"/>
    <n v="3076"/>
    <n v="1396"/>
  </r>
  <r>
    <n v="261732"/>
    <d v="2021-12-12T00:00:00"/>
    <x v="1"/>
    <n v="12"/>
    <s v="December"/>
    <n v="2021"/>
    <n v="34"/>
    <x v="1"/>
    <x v="1"/>
    <x v="2"/>
    <s v="New South Wales"/>
    <x v="0"/>
    <s v="Black"/>
    <n v="38"/>
    <n v="2"/>
    <n v="2504"/>
    <n v="4590"/>
    <n v="2086"/>
  </r>
  <r>
    <n v="261733"/>
    <d v="2021-12-12T00:00:00"/>
    <x v="1"/>
    <n v="12"/>
    <s v="December"/>
    <n v="2021"/>
    <n v="35"/>
    <x v="0"/>
    <x v="0"/>
    <x v="2"/>
    <s v="Victoria"/>
    <x v="0"/>
    <s v="Silver"/>
    <n v="42"/>
    <n v="1"/>
    <n v="1266"/>
    <n v="2320"/>
    <n v="1054"/>
  </r>
  <r>
    <n v="261734"/>
    <d v="2021-12-12T00:00:00"/>
    <x v="1"/>
    <n v="12"/>
    <s v="December"/>
    <n v="2021"/>
    <n v="38"/>
    <x v="0"/>
    <x v="0"/>
    <x v="0"/>
    <s v="Washington"/>
    <x v="0"/>
    <s v="Silver"/>
    <n v="42"/>
    <n v="1"/>
    <n v="1266"/>
    <n v="2320"/>
    <n v="1054"/>
  </r>
  <r>
    <n v="261735"/>
    <d v="2021-12-13T00:00:00"/>
    <x v="1"/>
    <n v="13"/>
    <s v="December"/>
    <n v="2021"/>
    <n v="32"/>
    <x v="1"/>
    <x v="0"/>
    <x v="2"/>
    <s v="Queensland"/>
    <x v="0"/>
    <s v="Silver"/>
    <n v="42"/>
    <n v="3"/>
    <n v="3798"/>
    <n v="6960"/>
    <n v="3162"/>
  </r>
  <r>
    <n v="261736"/>
    <d v="2021-12-13T00:00:00"/>
    <x v="1"/>
    <n v="13"/>
    <s v="December"/>
    <n v="2021"/>
    <n v="40"/>
    <x v="0"/>
    <x v="0"/>
    <x v="0"/>
    <s v="California"/>
    <x v="2"/>
    <s v="Silver"/>
    <n v="40"/>
    <n v="1"/>
    <n v="308"/>
    <n v="565"/>
    <n v="257"/>
  </r>
  <r>
    <n v="261737"/>
    <d v="2021-12-13T00:00:00"/>
    <x v="1"/>
    <n v="13"/>
    <s v="December"/>
    <n v="2021"/>
    <n v="44"/>
    <x v="0"/>
    <x v="0"/>
    <x v="1"/>
    <s v="England"/>
    <x v="0"/>
    <s v="Black"/>
    <n v="38"/>
    <n v="1"/>
    <n v="1252"/>
    <n v="2295"/>
    <n v="1043"/>
  </r>
  <r>
    <n v="261738"/>
    <d v="2021-12-13T00:00:00"/>
    <x v="1"/>
    <n v="13"/>
    <s v="December"/>
    <n v="2021"/>
    <n v="49"/>
    <x v="0"/>
    <x v="1"/>
    <x v="1"/>
    <s v="England"/>
    <x v="0"/>
    <s v="Black"/>
    <n v="38"/>
    <n v="1"/>
    <n v="1252"/>
    <n v="2295"/>
    <n v="1043"/>
  </r>
  <r>
    <n v="261739"/>
    <d v="2021-12-14T00:00:00"/>
    <x v="1"/>
    <n v="14"/>
    <s v="December"/>
    <n v="2021"/>
    <n v="30"/>
    <x v="1"/>
    <x v="0"/>
    <x v="0"/>
    <s v="Washington"/>
    <x v="0"/>
    <s v="Silver"/>
    <n v="38"/>
    <n v="2"/>
    <n v="2532"/>
    <n v="4640"/>
    <n v="2108"/>
  </r>
  <r>
    <n v="261740"/>
    <d v="2021-12-14T00:00:00"/>
    <x v="1"/>
    <n v="14"/>
    <s v="December"/>
    <n v="2021"/>
    <n v="32"/>
    <x v="1"/>
    <x v="1"/>
    <x v="0"/>
    <s v="California"/>
    <x v="0"/>
    <s v="Black"/>
    <n v="46"/>
    <n v="1"/>
    <n v="1252"/>
    <n v="2295"/>
    <n v="1043"/>
  </r>
  <r>
    <n v="261741"/>
    <d v="2021-12-14T00:00:00"/>
    <x v="1"/>
    <n v="14"/>
    <s v="December"/>
    <n v="2021"/>
    <n v="32"/>
    <x v="1"/>
    <x v="0"/>
    <x v="2"/>
    <s v="Victoria"/>
    <x v="1"/>
    <s v="Silver"/>
    <n v="46"/>
    <n v="1"/>
    <n v="420"/>
    <n v="769"/>
    <n v="349"/>
  </r>
  <r>
    <n v="261742"/>
    <d v="2021-12-15T00:00:00"/>
    <x v="2"/>
    <n v="15"/>
    <s v="December"/>
    <n v="2021"/>
    <n v="29"/>
    <x v="1"/>
    <x v="0"/>
    <x v="0"/>
    <s v="California"/>
    <x v="0"/>
    <s v="Silver"/>
    <n v="42"/>
    <n v="1"/>
    <n v="1266"/>
    <n v="2320"/>
    <n v="1054"/>
  </r>
  <r>
    <n v="261743"/>
    <d v="2021-12-16T00:00:00"/>
    <x v="2"/>
    <n v="16"/>
    <s v="December"/>
    <n v="2021"/>
    <n v="33"/>
    <x v="1"/>
    <x v="0"/>
    <x v="2"/>
    <s v="New South Wales"/>
    <x v="0"/>
    <s v="Black"/>
    <n v="38"/>
    <n v="2"/>
    <n v="2504"/>
    <n v="4590"/>
    <n v="2086"/>
  </r>
  <r>
    <n v="261744"/>
    <d v="2021-12-16T00:00:00"/>
    <x v="2"/>
    <n v="16"/>
    <s v="December"/>
    <n v="2021"/>
    <n v="38"/>
    <x v="0"/>
    <x v="1"/>
    <x v="2"/>
    <s v="New South Wales"/>
    <x v="0"/>
    <s v="Black"/>
    <n v="38"/>
    <n v="2"/>
    <n v="2504"/>
    <n v="4590"/>
    <n v="2086"/>
  </r>
  <r>
    <n v="261745"/>
    <d v="2021-12-16T00:00:00"/>
    <x v="2"/>
    <n v="16"/>
    <s v="December"/>
    <n v="2021"/>
    <n v="27"/>
    <x v="1"/>
    <x v="0"/>
    <x v="5"/>
    <s v="Seine et Marne"/>
    <x v="0"/>
    <s v="Silver"/>
    <n v="46"/>
    <n v="1"/>
    <n v="1266"/>
    <n v="2320"/>
    <n v="1054"/>
  </r>
  <r>
    <n v="261746"/>
    <d v="2021-12-17T00:00:00"/>
    <x v="2"/>
    <n v="17"/>
    <s v="December"/>
    <n v="2021"/>
    <n v="37"/>
    <x v="0"/>
    <x v="0"/>
    <x v="0"/>
    <s v="Washington"/>
    <x v="0"/>
    <s v="Silver"/>
    <n v="38"/>
    <n v="2"/>
    <n v="2532"/>
    <n v="4640"/>
    <n v="2108"/>
  </r>
  <r>
    <n v="261747"/>
    <d v="2021-12-17T00:00:00"/>
    <x v="2"/>
    <n v="17"/>
    <s v="December"/>
    <n v="2021"/>
    <n v="31"/>
    <x v="1"/>
    <x v="1"/>
    <x v="2"/>
    <s v="New South Wales"/>
    <x v="1"/>
    <s v="Silver"/>
    <n v="42"/>
    <n v="1"/>
    <n v="420"/>
    <n v="769"/>
    <n v="349"/>
  </r>
  <r>
    <n v="261748"/>
    <d v="2021-12-17T00:00:00"/>
    <x v="2"/>
    <n v="17"/>
    <s v="December"/>
    <n v="2021"/>
    <n v="42"/>
    <x v="0"/>
    <x v="0"/>
    <x v="3"/>
    <s v="Nordrhein-Westfalen"/>
    <x v="0"/>
    <s v="Silver"/>
    <n v="46"/>
    <n v="1"/>
    <n v="1266"/>
    <n v="2320"/>
    <n v="1054"/>
  </r>
  <r>
    <n v="261749"/>
    <d v="2021-12-18T00:00:00"/>
    <x v="2"/>
    <n v="18"/>
    <s v="December"/>
    <n v="2021"/>
    <n v="35"/>
    <x v="0"/>
    <x v="0"/>
    <x v="2"/>
    <s v="New South Wales"/>
    <x v="2"/>
    <s v="Silver"/>
    <n v="42"/>
    <n v="4"/>
    <n v="1232"/>
    <n v="2260"/>
    <n v="1028"/>
  </r>
  <r>
    <n v="261750"/>
    <d v="2021-12-18T00:00:00"/>
    <x v="2"/>
    <n v="18"/>
    <s v="December"/>
    <n v="2021"/>
    <n v="38"/>
    <x v="0"/>
    <x v="0"/>
    <x v="3"/>
    <s v="Nordrhein-Westfalen"/>
    <x v="0"/>
    <s v="Silver"/>
    <n v="46"/>
    <n v="4"/>
    <n v="5064"/>
    <n v="9280"/>
    <n v="4216"/>
  </r>
  <r>
    <n v="261751"/>
    <d v="2021-12-18T00:00:00"/>
    <x v="2"/>
    <n v="18"/>
    <s v="December"/>
    <n v="2021"/>
    <n v="24"/>
    <x v="2"/>
    <x v="0"/>
    <x v="5"/>
    <s v="Seine Saint Denis"/>
    <x v="0"/>
    <s v="Silver"/>
    <n v="38"/>
    <n v="3"/>
    <n v="3798"/>
    <n v="6960"/>
    <n v="3162"/>
  </r>
  <r>
    <n v="261752"/>
    <d v="2021-12-18T00:00:00"/>
    <x v="2"/>
    <n v="18"/>
    <s v="December"/>
    <n v="2021"/>
    <n v="26"/>
    <x v="1"/>
    <x v="0"/>
    <x v="1"/>
    <s v="England"/>
    <x v="1"/>
    <s v="Silver"/>
    <n v="42"/>
    <n v="3"/>
    <n v="1260"/>
    <n v="2307"/>
    <n v="1047"/>
  </r>
  <r>
    <n v="261753"/>
    <d v="2021-12-18T00:00:00"/>
    <x v="2"/>
    <n v="18"/>
    <s v="December"/>
    <n v="2021"/>
    <n v="39"/>
    <x v="0"/>
    <x v="1"/>
    <x v="0"/>
    <s v="California"/>
    <x v="0"/>
    <s v="Black"/>
    <n v="42"/>
    <n v="3"/>
    <n v="3756"/>
    <n v="6885"/>
    <n v="3129"/>
  </r>
  <r>
    <n v="261754"/>
    <d v="2021-12-18T00:00:00"/>
    <x v="2"/>
    <n v="18"/>
    <s v="December"/>
    <n v="2021"/>
    <n v="26"/>
    <x v="1"/>
    <x v="1"/>
    <x v="5"/>
    <s v="Seine (Paris)"/>
    <x v="0"/>
    <s v="Black"/>
    <n v="46"/>
    <n v="1"/>
    <n v="1252"/>
    <n v="2295"/>
    <n v="1043"/>
  </r>
  <r>
    <n v="261755"/>
    <d v="2021-12-18T00:00:00"/>
    <x v="2"/>
    <n v="18"/>
    <s v="December"/>
    <n v="2021"/>
    <n v="36"/>
    <x v="0"/>
    <x v="1"/>
    <x v="0"/>
    <s v="Washington"/>
    <x v="0"/>
    <s v="Silver"/>
    <n v="38"/>
    <n v="1"/>
    <n v="1266"/>
    <n v="2320"/>
    <n v="1054"/>
  </r>
  <r>
    <n v="261756"/>
    <d v="2021-12-19T00:00:00"/>
    <x v="2"/>
    <n v="19"/>
    <s v="December"/>
    <n v="2021"/>
    <n v="17"/>
    <x v="2"/>
    <x v="1"/>
    <x v="5"/>
    <s v="Nord"/>
    <x v="0"/>
    <s v="Silver"/>
    <n v="46"/>
    <n v="4"/>
    <n v="5064"/>
    <n v="9280"/>
    <n v="4216"/>
  </r>
  <r>
    <n v="261757"/>
    <d v="2021-12-19T00:00:00"/>
    <x v="2"/>
    <n v="19"/>
    <s v="December"/>
    <n v="2021"/>
    <n v="19"/>
    <x v="2"/>
    <x v="0"/>
    <x v="2"/>
    <s v="Victoria"/>
    <x v="2"/>
    <s v="Black"/>
    <n v="44"/>
    <n v="4"/>
    <n v="1180"/>
    <n v="2160"/>
    <n v="980"/>
  </r>
  <r>
    <n v="261758"/>
    <d v="2021-12-19T00:00:00"/>
    <x v="2"/>
    <n v="19"/>
    <s v="December"/>
    <n v="2021"/>
    <n v="25"/>
    <x v="1"/>
    <x v="1"/>
    <x v="5"/>
    <s v="Seine (Paris)"/>
    <x v="0"/>
    <s v="Black"/>
    <n v="38"/>
    <n v="4"/>
    <n v="5008"/>
    <n v="9180"/>
    <n v="4172"/>
  </r>
  <r>
    <n v="261759"/>
    <d v="2021-12-19T00:00:00"/>
    <x v="2"/>
    <n v="19"/>
    <s v="December"/>
    <n v="2021"/>
    <n v="35"/>
    <x v="0"/>
    <x v="0"/>
    <x v="0"/>
    <s v="Oregon"/>
    <x v="3"/>
    <s v="Black"/>
    <n v="48"/>
    <n v="4"/>
    <n v="7592"/>
    <n v="13500"/>
    <n v="5908"/>
  </r>
  <r>
    <n v="261760"/>
    <d v="2021-12-19T00:00:00"/>
    <x v="2"/>
    <n v="19"/>
    <s v="December"/>
    <n v="2021"/>
    <n v="37"/>
    <x v="0"/>
    <x v="1"/>
    <x v="0"/>
    <s v="Oregon"/>
    <x v="0"/>
    <s v="Black"/>
    <n v="38"/>
    <n v="4"/>
    <n v="5008"/>
    <n v="9180"/>
    <n v="4172"/>
  </r>
  <r>
    <n v="261761"/>
    <d v="2021-12-19T00:00:00"/>
    <x v="2"/>
    <n v="19"/>
    <s v="December"/>
    <n v="2021"/>
    <n v="39"/>
    <x v="0"/>
    <x v="0"/>
    <x v="0"/>
    <s v="California"/>
    <x v="0"/>
    <s v="Black"/>
    <n v="46"/>
    <n v="4"/>
    <n v="5008"/>
    <n v="9180"/>
    <n v="4172"/>
  </r>
  <r>
    <n v="261762"/>
    <d v="2021-12-19T00:00:00"/>
    <x v="2"/>
    <n v="19"/>
    <s v="December"/>
    <n v="2021"/>
    <n v="63"/>
    <x v="0"/>
    <x v="0"/>
    <x v="2"/>
    <s v="Queensland"/>
    <x v="0"/>
    <s v="Black"/>
    <n v="46"/>
    <n v="4"/>
    <n v="5008"/>
    <n v="9180"/>
    <n v="4172"/>
  </r>
  <r>
    <n v="261763"/>
    <d v="2021-12-19T00:00:00"/>
    <x v="2"/>
    <n v="19"/>
    <s v="December"/>
    <n v="2021"/>
    <n v="18"/>
    <x v="2"/>
    <x v="1"/>
    <x v="2"/>
    <s v="South Australia"/>
    <x v="2"/>
    <s v="Black"/>
    <n v="40"/>
    <n v="2"/>
    <n v="590"/>
    <n v="1080"/>
    <n v="490"/>
  </r>
  <r>
    <n v="261764"/>
    <d v="2021-12-19T00:00:00"/>
    <x v="2"/>
    <n v="19"/>
    <s v="December"/>
    <n v="2021"/>
    <n v="56"/>
    <x v="0"/>
    <x v="0"/>
    <x v="3"/>
    <s v="Hessen"/>
    <x v="0"/>
    <s v="Black"/>
    <n v="46"/>
    <n v="2"/>
    <n v="2504"/>
    <n v="4590"/>
    <n v="2086"/>
  </r>
  <r>
    <n v="261765"/>
    <d v="2021-12-19T00:00:00"/>
    <x v="2"/>
    <n v="19"/>
    <s v="December"/>
    <n v="2021"/>
    <n v="39"/>
    <x v="0"/>
    <x v="0"/>
    <x v="0"/>
    <s v="Washington"/>
    <x v="0"/>
    <s v="Silver"/>
    <n v="38"/>
    <n v="1"/>
    <n v="1266"/>
    <n v="2320"/>
    <n v="1054"/>
  </r>
  <r>
    <n v="261766"/>
    <d v="2021-12-20T00:00:00"/>
    <x v="2"/>
    <n v="20"/>
    <s v="December"/>
    <n v="2021"/>
    <n v="33"/>
    <x v="1"/>
    <x v="0"/>
    <x v="2"/>
    <s v="Victoria"/>
    <x v="3"/>
    <s v="Black"/>
    <n v="38"/>
    <n v="4"/>
    <n v="7592"/>
    <n v="13500"/>
    <n v="5908"/>
  </r>
  <r>
    <n v="261767"/>
    <d v="2021-12-20T00:00:00"/>
    <x v="2"/>
    <n v="20"/>
    <s v="December"/>
    <n v="2021"/>
    <n v="57"/>
    <x v="0"/>
    <x v="1"/>
    <x v="2"/>
    <s v="Queensland"/>
    <x v="0"/>
    <s v="Black"/>
    <n v="46"/>
    <n v="4"/>
    <n v="5008"/>
    <n v="9180"/>
    <n v="4172"/>
  </r>
  <r>
    <n v="261768"/>
    <d v="2021-12-20T00:00:00"/>
    <x v="2"/>
    <n v="20"/>
    <s v="December"/>
    <n v="2021"/>
    <n v="29"/>
    <x v="1"/>
    <x v="1"/>
    <x v="4"/>
    <s v="British Columbia"/>
    <x v="2"/>
    <s v="Black"/>
    <n v="52"/>
    <n v="3"/>
    <n v="885"/>
    <n v="1620"/>
    <n v="735"/>
  </r>
  <r>
    <n v="261769"/>
    <d v="2021-12-20T00:00:00"/>
    <x v="2"/>
    <n v="20"/>
    <s v="December"/>
    <n v="2021"/>
    <n v="35"/>
    <x v="0"/>
    <x v="0"/>
    <x v="2"/>
    <s v="Queensland"/>
    <x v="0"/>
    <s v="Silver"/>
    <n v="38"/>
    <n v="1"/>
    <n v="1266"/>
    <n v="2320"/>
    <n v="1054"/>
  </r>
  <r>
    <n v="261770"/>
    <d v="2021-12-20T00:00:00"/>
    <x v="2"/>
    <n v="20"/>
    <s v="December"/>
    <n v="2021"/>
    <n v="35"/>
    <x v="0"/>
    <x v="1"/>
    <x v="2"/>
    <s v="Victoria"/>
    <x v="0"/>
    <s v="Silver"/>
    <n v="38"/>
    <n v="1"/>
    <n v="1266"/>
    <n v="2320"/>
    <n v="1054"/>
  </r>
  <r>
    <n v="261771"/>
    <d v="2021-12-21T00:00:00"/>
    <x v="2"/>
    <n v="21"/>
    <s v="December"/>
    <n v="2021"/>
    <n v="26"/>
    <x v="1"/>
    <x v="1"/>
    <x v="5"/>
    <s v="Somme"/>
    <x v="0"/>
    <s v="Silver"/>
    <n v="38"/>
    <n v="3"/>
    <n v="3798"/>
    <n v="6960"/>
    <n v="3162"/>
  </r>
  <r>
    <n v="261772"/>
    <d v="2021-12-21T00:00:00"/>
    <x v="2"/>
    <n v="21"/>
    <s v="December"/>
    <n v="2021"/>
    <n v="23"/>
    <x v="2"/>
    <x v="1"/>
    <x v="1"/>
    <s v="England"/>
    <x v="1"/>
    <s v="Silver"/>
    <n v="46"/>
    <n v="2"/>
    <n v="840"/>
    <n v="1538"/>
    <n v="698"/>
  </r>
  <r>
    <n v="261773"/>
    <d v="2021-12-22T00:00:00"/>
    <x v="3"/>
    <n v="22"/>
    <s v="December"/>
    <n v="2021"/>
    <n v="30"/>
    <x v="1"/>
    <x v="0"/>
    <x v="0"/>
    <s v="Washington"/>
    <x v="0"/>
    <s v="Silver"/>
    <n v="38"/>
    <n v="3"/>
    <n v="3798"/>
    <n v="6960"/>
    <n v="3162"/>
  </r>
  <r>
    <n v="261774"/>
    <d v="2021-12-22T00:00:00"/>
    <x v="3"/>
    <n v="22"/>
    <s v="December"/>
    <n v="2021"/>
    <n v="41"/>
    <x v="0"/>
    <x v="1"/>
    <x v="0"/>
    <s v="California"/>
    <x v="0"/>
    <s v="Black"/>
    <n v="42"/>
    <n v="3"/>
    <n v="3756"/>
    <n v="6885"/>
    <n v="3129"/>
  </r>
  <r>
    <n v="261775"/>
    <d v="2021-12-22T00:00:00"/>
    <x v="3"/>
    <n v="22"/>
    <s v="December"/>
    <n v="2021"/>
    <n v="19"/>
    <x v="2"/>
    <x v="0"/>
    <x v="2"/>
    <s v="New South Wales"/>
    <x v="2"/>
    <s v="Silver"/>
    <n v="42"/>
    <n v="1"/>
    <n v="308"/>
    <n v="565"/>
    <n v="257"/>
  </r>
  <r>
    <n v="261776"/>
    <d v="2021-12-22T00:00:00"/>
    <x v="3"/>
    <n v="22"/>
    <s v="December"/>
    <n v="2021"/>
    <n v="25"/>
    <x v="1"/>
    <x v="1"/>
    <x v="5"/>
    <s v="Seine (Paris)"/>
    <x v="0"/>
    <s v="Black"/>
    <n v="38"/>
    <n v="1"/>
    <n v="1252"/>
    <n v="2295"/>
    <n v="1043"/>
  </r>
  <r>
    <n v="261777"/>
    <d v="2021-12-22T00:00:00"/>
    <x v="3"/>
    <n v="22"/>
    <s v="December"/>
    <n v="2021"/>
    <n v="27"/>
    <x v="1"/>
    <x v="0"/>
    <x v="4"/>
    <s v="British Columbia"/>
    <x v="0"/>
    <s v="Black"/>
    <n v="46"/>
    <n v="1"/>
    <n v="1252"/>
    <n v="2295"/>
    <n v="1043"/>
  </r>
  <r>
    <n v="261778"/>
    <d v="2021-12-22T00:00:00"/>
    <x v="3"/>
    <n v="22"/>
    <s v="December"/>
    <n v="2021"/>
    <n v="41"/>
    <x v="0"/>
    <x v="1"/>
    <x v="3"/>
    <s v="Hessen"/>
    <x v="0"/>
    <s v="Silver"/>
    <n v="38"/>
    <n v="1"/>
    <n v="1266"/>
    <n v="2320"/>
    <n v="1054"/>
  </r>
  <r>
    <n v="261779"/>
    <d v="2021-12-23T00:00:00"/>
    <x v="3"/>
    <n v="23"/>
    <s v="December"/>
    <n v="2021"/>
    <n v="30"/>
    <x v="1"/>
    <x v="0"/>
    <x v="0"/>
    <s v="Oregon"/>
    <x v="0"/>
    <s v="Silver"/>
    <n v="42"/>
    <n v="1"/>
    <n v="1266"/>
    <n v="2320"/>
    <n v="1054"/>
  </r>
  <r>
    <n v="261780"/>
    <d v="2021-12-23T00:00:00"/>
    <x v="3"/>
    <n v="23"/>
    <s v="December"/>
    <n v="2021"/>
    <n v="31"/>
    <x v="1"/>
    <x v="0"/>
    <x v="4"/>
    <s v="British Columbia"/>
    <x v="0"/>
    <s v="Black"/>
    <n v="42"/>
    <n v="1"/>
    <n v="1252"/>
    <n v="2295"/>
    <n v="1043"/>
  </r>
  <r>
    <n v="261781"/>
    <d v="2021-12-23T00:00:00"/>
    <x v="3"/>
    <n v="23"/>
    <s v="December"/>
    <n v="2021"/>
    <n v="35"/>
    <x v="0"/>
    <x v="0"/>
    <x v="0"/>
    <s v="California"/>
    <x v="2"/>
    <s v="Black"/>
    <n v="42"/>
    <n v="1"/>
    <n v="295"/>
    <n v="540"/>
    <n v="245"/>
  </r>
  <r>
    <n v="261782"/>
    <d v="2021-12-24T00:00:00"/>
    <x v="3"/>
    <n v="24"/>
    <s v="December"/>
    <n v="2021"/>
    <n v="38"/>
    <x v="0"/>
    <x v="1"/>
    <x v="2"/>
    <s v="Queensland"/>
    <x v="0"/>
    <s v="Black"/>
    <n v="42"/>
    <n v="4"/>
    <n v="5008"/>
    <n v="9180"/>
    <n v="417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n v="261695"/>
    <d v="2021-12-01T00:00:00"/>
    <n v="1"/>
    <n v="1"/>
    <s v="December"/>
    <n v="2021"/>
    <n v="39"/>
    <s v="Adults (35-64)"/>
    <x v="0"/>
    <x v="0"/>
    <x v="0"/>
    <s v="Mountain-200"/>
    <s v="Black"/>
    <n v="46"/>
    <n v="4"/>
    <n v="5008"/>
    <n v="9180"/>
    <n v="4172"/>
  </r>
  <r>
    <n v="261695"/>
    <d v="2021-12-01T00:00:00"/>
    <n v="1"/>
    <n v="1"/>
    <s v="December"/>
    <n v="2021"/>
    <n v="44"/>
    <s v="Adults (35-64)"/>
    <x v="1"/>
    <x v="1"/>
    <x v="1"/>
    <s v="Mountain-200"/>
    <s v="Silver"/>
    <n v="42"/>
    <n v="1"/>
    <n v="1266"/>
    <n v="2320"/>
    <n v="1054"/>
  </r>
  <r>
    <n v="261697"/>
    <d v="2021-12-02T00:00:00"/>
    <n v="1"/>
    <n v="2"/>
    <s v="December"/>
    <n v="2021"/>
    <n v="37"/>
    <s v="Adults (35-64)"/>
    <x v="1"/>
    <x v="0"/>
    <x v="0"/>
    <s v="Mountain-400-W"/>
    <s v="Silver"/>
    <n v="46"/>
    <n v="2"/>
    <n v="840"/>
    <n v="1538"/>
    <n v="698"/>
  </r>
  <r>
    <n v="261698"/>
    <d v="2021-12-02T00:00:00"/>
    <n v="1"/>
    <n v="2"/>
    <s v="December"/>
    <n v="2021"/>
    <n v="31"/>
    <s v="Young Adults (25-34)"/>
    <x v="0"/>
    <x v="2"/>
    <x v="2"/>
    <s v="Mountain-400-W"/>
    <s v="Silver"/>
    <n v="42"/>
    <n v="1"/>
    <n v="420"/>
    <n v="769"/>
    <n v="349"/>
  </r>
  <r>
    <n v="261699"/>
    <d v="2021-12-03T00:00:00"/>
    <n v="1"/>
    <n v="3"/>
    <s v="December"/>
    <n v="2021"/>
    <n v="37"/>
    <s v="Adults (35-64)"/>
    <x v="0"/>
    <x v="0"/>
    <x v="0"/>
    <s v="Mountain-200"/>
    <s v="Black"/>
    <n v="46"/>
    <n v="2"/>
    <n v="2504"/>
    <n v="4590"/>
    <n v="2086"/>
  </r>
  <r>
    <n v="261700"/>
    <d v="2021-12-03T00:00:00"/>
    <n v="1"/>
    <n v="3"/>
    <s v="December"/>
    <n v="2021"/>
    <n v="24"/>
    <s v="Youth (&lt;25)"/>
    <x v="0"/>
    <x v="1"/>
    <x v="1"/>
    <s v="Mountain-200"/>
    <s v="Black"/>
    <n v="38"/>
    <n v="1"/>
    <n v="1252"/>
    <n v="2295"/>
    <n v="1043"/>
  </r>
  <r>
    <n v="261701"/>
    <d v="2021-12-03T00:00:00"/>
    <n v="1"/>
    <n v="3"/>
    <s v="December"/>
    <n v="2021"/>
    <n v="37"/>
    <s v="Adults (35-64)"/>
    <x v="1"/>
    <x v="0"/>
    <x v="3"/>
    <s v="Mountain-200"/>
    <s v="Black"/>
    <n v="46"/>
    <n v="1"/>
    <n v="1252"/>
    <n v="2295"/>
    <n v="1043"/>
  </r>
  <r>
    <n v="261701"/>
    <d v="2021-12-03T00:00:00"/>
    <n v="1"/>
    <n v="3"/>
    <s v="December"/>
    <n v="2021"/>
    <n v="37"/>
    <s v="Adults (35-64)"/>
    <x v="1"/>
    <x v="0"/>
    <x v="3"/>
    <s v="Mountain-200"/>
    <s v="Black"/>
    <n v="46"/>
    <n v="1"/>
    <n v="1252"/>
    <n v="2295"/>
    <n v="1043"/>
  </r>
  <r>
    <n v="261702"/>
    <d v="2021-12-04T00:00:00"/>
    <n v="1"/>
    <n v="4"/>
    <s v="December"/>
    <n v="2021"/>
    <n v="31"/>
    <s v="Young Adults (25-34)"/>
    <x v="0"/>
    <x v="2"/>
    <x v="2"/>
    <s v="Mountain-400-W"/>
    <s v="Silver"/>
    <n v="42"/>
    <n v="4"/>
    <n v="1680"/>
    <n v="3076"/>
    <n v="1396"/>
  </r>
  <r>
    <n v="261703"/>
    <d v="2021-12-05T00:00:00"/>
    <n v="1"/>
    <n v="5"/>
    <s v="December"/>
    <n v="2021"/>
    <n v="39"/>
    <s v="Adults (35-64)"/>
    <x v="0"/>
    <x v="0"/>
    <x v="0"/>
    <s v="Mountain-200"/>
    <s v="Black"/>
    <n v="46"/>
    <n v="4"/>
    <n v="5008"/>
    <n v="9180"/>
    <n v="4172"/>
  </r>
  <r>
    <n v="261704"/>
    <d v="2021-12-05T00:00:00"/>
    <n v="1"/>
    <n v="5"/>
    <s v="December"/>
    <n v="2021"/>
    <n v="42"/>
    <s v="Adults (35-64)"/>
    <x v="1"/>
    <x v="3"/>
    <x v="4"/>
    <s v="Mountain-200"/>
    <s v="Black"/>
    <n v="38"/>
    <n v="4"/>
    <n v="5008"/>
    <n v="9180"/>
    <n v="4172"/>
  </r>
  <r>
    <n v="261705"/>
    <d v="2021-12-05T00:00:00"/>
    <n v="1"/>
    <n v="5"/>
    <s v="December"/>
    <n v="2021"/>
    <n v="35"/>
    <s v="Adults (35-64)"/>
    <x v="0"/>
    <x v="2"/>
    <x v="5"/>
    <s v="Mountain-200"/>
    <s v="Silver"/>
    <n v="38"/>
    <n v="1"/>
    <n v="1266"/>
    <n v="2320"/>
    <n v="1054"/>
  </r>
  <r>
    <n v="261706"/>
    <d v="2021-12-05T00:00:00"/>
    <n v="1"/>
    <n v="5"/>
    <s v="December"/>
    <n v="2021"/>
    <n v="37"/>
    <s v="Adults (35-64)"/>
    <x v="0"/>
    <x v="0"/>
    <x v="0"/>
    <s v="Mountain-200"/>
    <s v="Black"/>
    <n v="46"/>
    <n v="1"/>
    <n v="1252"/>
    <n v="2295"/>
    <n v="1043"/>
  </r>
  <r>
    <n v="261707"/>
    <d v="2021-12-06T00:00:00"/>
    <n v="1"/>
    <n v="6"/>
    <s v="December"/>
    <n v="2021"/>
    <n v="23"/>
    <s v="Youth (&lt;25)"/>
    <x v="1"/>
    <x v="1"/>
    <x v="1"/>
    <s v="Mountain-400-W"/>
    <s v="Silver"/>
    <n v="46"/>
    <n v="3"/>
    <n v="1260"/>
    <n v="2307"/>
    <n v="1047"/>
  </r>
  <r>
    <n v="261708"/>
    <d v="2021-12-06T00:00:00"/>
    <n v="1"/>
    <n v="6"/>
    <s v="December"/>
    <n v="2021"/>
    <n v="27"/>
    <s v="Young Adults (25-34)"/>
    <x v="1"/>
    <x v="4"/>
    <x v="6"/>
    <s v="Mountain-200"/>
    <s v="Black"/>
    <n v="46"/>
    <n v="1"/>
    <n v="1252"/>
    <n v="2295"/>
    <n v="1043"/>
  </r>
  <r>
    <n v="261709"/>
    <d v="2021-12-06T00:00:00"/>
    <n v="1"/>
    <n v="6"/>
    <s v="December"/>
    <n v="2021"/>
    <n v="36"/>
    <s v="Adults (35-64)"/>
    <x v="1"/>
    <x v="2"/>
    <x v="2"/>
    <s v="Mountain-200"/>
    <s v="Black"/>
    <n v="42"/>
    <n v="1"/>
    <n v="1252"/>
    <n v="2295"/>
    <n v="1043"/>
  </r>
  <r>
    <n v="261710"/>
    <d v="2021-12-06T00:00:00"/>
    <n v="1"/>
    <n v="6"/>
    <s v="December"/>
    <n v="2021"/>
    <n v="47"/>
    <s v="Adults (35-64)"/>
    <x v="1"/>
    <x v="1"/>
    <x v="1"/>
    <s v="Mountain-200"/>
    <s v="Silver"/>
    <n v="38"/>
    <n v="1"/>
    <n v="1266"/>
    <n v="2320"/>
    <n v="1054"/>
  </r>
  <r>
    <n v="261711"/>
    <d v="2021-12-07T00:00:00"/>
    <n v="1"/>
    <n v="7"/>
    <s v="December"/>
    <n v="2021"/>
    <n v="30"/>
    <s v="Young Adults (25-34)"/>
    <x v="1"/>
    <x v="0"/>
    <x v="0"/>
    <s v="Mountain-400-W"/>
    <s v="Silver"/>
    <n v="38"/>
    <n v="4"/>
    <n v="1680"/>
    <n v="3076"/>
    <n v="1396"/>
  </r>
  <r>
    <n v="261712"/>
    <d v="2021-12-07T00:00:00"/>
    <n v="1"/>
    <n v="7"/>
    <s v="December"/>
    <n v="2021"/>
    <n v="38"/>
    <s v="Adults (35-64)"/>
    <x v="1"/>
    <x v="0"/>
    <x v="0"/>
    <s v="Mountain-200"/>
    <s v="Silver"/>
    <n v="42"/>
    <n v="2"/>
    <n v="2532"/>
    <n v="4640"/>
    <n v="2108"/>
  </r>
  <r>
    <n v="261713"/>
    <d v="2021-12-08T00:00:00"/>
    <n v="2"/>
    <n v="8"/>
    <s v="December"/>
    <n v="2021"/>
    <n v="19"/>
    <s v="Youth (&lt;25)"/>
    <x v="0"/>
    <x v="2"/>
    <x v="2"/>
    <s v="Mountain-500"/>
    <s v="Silver"/>
    <n v="42"/>
    <n v="4"/>
    <n v="1232"/>
    <n v="2260"/>
    <n v="1028"/>
  </r>
  <r>
    <n v="261714"/>
    <d v="2021-12-08T00:00:00"/>
    <n v="2"/>
    <n v="8"/>
    <s v="December"/>
    <n v="2021"/>
    <n v="30"/>
    <s v="Young Adults (25-34)"/>
    <x v="0"/>
    <x v="4"/>
    <x v="6"/>
    <s v="Mountain-200"/>
    <s v="Silver"/>
    <n v="38"/>
    <n v="4"/>
    <n v="5064"/>
    <n v="9280"/>
    <n v="4216"/>
  </r>
  <r>
    <n v="261717"/>
    <d v="2021-12-09T00:00:00"/>
    <n v="2"/>
    <n v="9"/>
    <s v="December"/>
    <n v="2021"/>
    <n v="33"/>
    <s v="Young Adults (25-34)"/>
    <x v="0"/>
    <x v="2"/>
    <x v="7"/>
    <s v="Mountain-100"/>
    <s v="Black"/>
    <n v="38"/>
    <n v="2"/>
    <n v="3796"/>
    <n v="6750"/>
    <n v="2954"/>
  </r>
  <r>
    <n v="261718"/>
    <d v="2021-12-09T00:00:00"/>
    <n v="2"/>
    <n v="9"/>
    <s v="December"/>
    <n v="2021"/>
    <n v="41"/>
    <s v="Adults (35-64)"/>
    <x v="0"/>
    <x v="3"/>
    <x v="8"/>
    <s v="Mountain-200"/>
    <s v="Silver"/>
    <n v="42"/>
    <n v="1"/>
    <n v="1266"/>
    <n v="2320"/>
    <n v="1054"/>
  </r>
  <r>
    <n v="261719"/>
    <d v="2021-12-10T00:00:00"/>
    <n v="2"/>
    <n v="10"/>
    <s v="December"/>
    <n v="2021"/>
    <n v="34"/>
    <s v="Young Adults (25-34)"/>
    <x v="0"/>
    <x v="0"/>
    <x v="0"/>
    <s v="Mountain-200"/>
    <s v="Black"/>
    <n v="42"/>
    <n v="2"/>
    <n v="2504"/>
    <n v="4590"/>
    <n v="2086"/>
  </r>
  <r>
    <n v="261720"/>
    <d v="2021-12-10T00:00:00"/>
    <n v="2"/>
    <n v="10"/>
    <s v="December"/>
    <n v="2021"/>
    <n v="40"/>
    <s v="Adults (35-64)"/>
    <x v="1"/>
    <x v="2"/>
    <x v="2"/>
    <s v="Mountain-200"/>
    <s v="Black"/>
    <n v="42"/>
    <n v="2"/>
    <n v="2504"/>
    <n v="4590"/>
    <n v="2086"/>
  </r>
  <r>
    <n v="261721"/>
    <d v="2021-12-10T00:00:00"/>
    <n v="2"/>
    <n v="10"/>
    <s v="December"/>
    <n v="2021"/>
    <n v="26"/>
    <s v="Young Adults (25-34)"/>
    <x v="1"/>
    <x v="1"/>
    <x v="1"/>
    <s v="Mountain-200"/>
    <s v="Black"/>
    <n v="38"/>
    <n v="1"/>
    <n v="1252"/>
    <n v="2295"/>
    <n v="1043"/>
  </r>
  <r>
    <n v="261722"/>
    <d v="2021-12-10T00:00:00"/>
    <n v="2"/>
    <n v="10"/>
    <s v="December"/>
    <n v="2021"/>
    <n v="34"/>
    <s v="Young Adults (25-34)"/>
    <x v="1"/>
    <x v="0"/>
    <x v="0"/>
    <s v="Mountain-500"/>
    <s v="Black"/>
    <n v="40"/>
    <n v="1"/>
    <n v="295"/>
    <n v="540"/>
    <n v="245"/>
  </r>
  <r>
    <n v="261723"/>
    <d v="2021-12-10T00:00:00"/>
    <n v="2"/>
    <n v="10"/>
    <s v="December"/>
    <n v="2021"/>
    <n v="34"/>
    <s v="Young Adults (25-34)"/>
    <x v="0"/>
    <x v="0"/>
    <x v="3"/>
    <s v="Mountain-100"/>
    <s v="Silver"/>
    <n v="44"/>
    <n v="1"/>
    <n v="1912"/>
    <n v="3400"/>
    <n v="1488"/>
  </r>
  <r>
    <n v="261724"/>
    <d v="2021-12-10T00:00:00"/>
    <n v="2"/>
    <n v="10"/>
    <s v="December"/>
    <n v="2021"/>
    <n v="38"/>
    <s v="Adults (35-64)"/>
    <x v="1"/>
    <x v="2"/>
    <x v="2"/>
    <s v="Mountain-200"/>
    <s v="Black"/>
    <n v="38"/>
    <n v="1"/>
    <n v="1252"/>
    <n v="2295"/>
    <n v="1043"/>
  </r>
  <r>
    <n v="261725"/>
    <d v="2021-12-11T00:00:00"/>
    <n v="2"/>
    <n v="11"/>
    <s v="December"/>
    <n v="2021"/>
    <n v="24"/>
    <s v="Youth (&lt;25)"/>
    <x v="0"/>
    <x v="5"/>
    <x v="9"/>
    <s v="Mountain-200"/>
    <s v="Black"/>
    <n v="38"/>
    <n v="3"/>
    <n v="3756"/>
    <n v="6885"/>
    <n v="3129"/>
  </r>
  <r>
    <n v="261726"/>
    <d v="2021-12-11T00:00:00"/>
    <n v="2"/>
    <n v="11"/>
    <s v="December"/>
    <n v="2021"/>
    <n v="41"/>
    <s v="Adults (35-64)"/>
    <x v="0"/>
    <x v="2"/>
    <x v="2"/>
    <s v="Mountain-400-W"/>
    <s v="Silver"/>
    <n v="38"/>
    <n v="2"/>
    <n v="840"/>
    <n v="1538"/>
    <n v="698"/>
  </r>
  <r>
    <n v="261727"/>
    <d v="2021-12-11T00:00:00"/>
    <n v="2"/>
    <n v="11"/>
    <s v="December"/>
    <n v="2021"/>
    <n v="27"/>
    <s v="Young Adults (25-34)"/>
    <x v="1"/>
    <x v="4"/>
    <x v="6"/>
    <s v="Mountain-200"/>
    <s v="Black"/>
    <n v="46"/>
    <n v="1"/>
    <n v="1252"/>
    <n v="2295"/>
    <n v="1043"/>
  </r>
  <r>
    <n v="261728"/>
    <d v="2021-12-11T00:00:00"/>
    <n v="2"/>
    <n v="11"/>
    <s v="December"/>
    <n v="2021"/>
    <n v="37"/>
    <s v="Adults (35-64)"/>
    <x v="1"/>
    <x v="0"/>
    <x v="0"/>
    <s v="Mountain-400-W"/>
    <s v="Silver"/>
    <n v="46"/>
    <n v="1"/>
    <n v="420"/>
    <n v="769"/>
    <n v="349"/>
  </r>
  <r>
    <n v="261729"/>
    <d v="2021-12-11T00:00:00"/>
    <n v="2"/>
    <n v="11"/>
    <s v="December"/>
    <n v="2021"/>
    <n v="38"/>
    <s v="Adults (35-64)"/>
    <x v="0"/>
    <x v="0"/>
    <x v="0"/>
    <s v="Mountain-200"/>
    <s v="Silver"/>
    <n v="38"/>
    <n v="1"/>
    <n v="1266"/>
    <n v="2320"/>
    <n v="1054"/>
  </r>
  <r>
    <n v="261730"/>
    <d v="2021-12-12T00:00:00"/>
    <n v="2"/>
    <n v="12"/>
    <s v="December"/>
    <n v="2021"/>
    <n v="36"/>
    <s v="Adults (35-64)"/>
    <x v="0"/>
    <x v="2"/>
    <x v="2"/>
    <s v="Mountain-200"/>
    <s v="Silver"/>
    <n v="42"/>
    <n v="4"/>
    <n v="5064"/>
    <n v="9280"/>
    <n v="4216"/>
  </r>
  <r>
    <n v="261731"/>
    <d v="2021-12-12T00:00:00"/>
    <n v="2"/>
    <n v="12"/>
    <s v="December"/>
    <n v="2021"/>
    <n v="37"/>
    <s v="Adults (35-64)"/>
    <x v="1"/>
    <x v="0"/>
    <x v="0"/>
    <s v="Mountain-400-W"/>
    <s v="Silver"/>
    <n v="46"/>
    <n v="4"/>
    <n v="1680"/>
    <n v="3076"/>
    <n v="1396"/>
  </r>
  <r>
    <n v="261732"/>
    <d v="2021-12-12T00:00:00"/>
    <n v="2"/>
    <n v="12"/>
    <s v="December"/>
    <n v="2021"/>
    <n v="34"/>
    <s v="Young Adults (25-34)"/>
    <x v="1"/>
    <x v="2"/>
    <x v="2"/>
    <s v="Mountain-200"/>
    <s v="Black"/>
    <n v="38"/>
    <n v="2"/>
    <n v="2504"/>
    <n v="4590"/>
    <n v="2086"/>
  </r>
  <r>
    <n v="261733"/>
    <d v="2021-12-12T00:00:00"/>
    <n v="2"/>
    <n v="12"/>
    <s v="December"/>
    <n v="2021"/>
    <n v="35"/>
    <s v="Adults (35-64)"/>
    <x v="0"/>
    <x v="2"/>
    <x v="7"/>
    <s v="Mountain-200"/>
    <s v="Silver"/>
    <n v="42"/>
    <n v="1"/>
    <n v="1266"/>
    <n v="2320"/>
    <n v="1054"/>
  </r>
  <r>
    <n v="261734"/>
    <d v="2021-12-12T00:00:00"/>
    <n v="2"/>
    <n v="12"/>
    <s v="December"/>
    <n v="2021"/>
    <n v="38"/>
    <s v="Adults (35-64)"/>
    <x v="0"/>
    <x v="0"/>
    <x v="3"/>
    <s v="Mountain-200"/>
    <s v="Silver"/>
    <n v="42"/>
    <n v="1"/>
    <n v="1266"/>
    <n v="2320"/>
    <n v="1054"/>
  </r>
  <r>
    <n v="261735"/>
    <d v="2021-12-13T00:00:00"/>
    <n v="2"/>
    <n v="13"/>
    <s v="December"/>
    <n v="2021"/>
    <n v="32"/>
    <s v="Young Adults (25-34)"/>
    <x v="0"/>
    <x v="2"/>
    <x v="5"/>
    <s v="Mountain-200"/>
    <s v="Silver"/>
    <n v="42"/>
    <n v="3"/>
    <n v="3798"/>
    <n v="6960"/>
    <n v="3162"/>
  </r>
  <r>
    <n v="261736"/>
    <d v="2021-12-13T00:00:00"/>
    <n v="2"/>
    <n v="13"/>
    <s v="December"/>
    <n v="2021"/>
    <n v="40"/>
    <s v="Adults (35-64)"/>
    <x v="0"/>
    <x v="0"/>
    <x v="0"/>
    <s v="Mountain-500"/>
    <s v="Silver"/>
    <n v="40"/>
    <n v="1"/>
    <n v="308"/>
    <n v="565"/>
    <n v="257"/>
  </r>
  <r>
    <n v="261737"/>
    <d v="2021-12-13T00:00:00"/>
    <n v="2"/>
    <n v="13"/>
    <s v="December"/>
    <n v="2021"/>
    <n v="44"/>
    <s v="Adults (35-64)"/>
    <x v="0"/>
    <x v="1"/>
    <x v="1"/>
    <s v="Mountain-200"/>
    <s v="Black"/>
    <n v="38"/>
    <n v="1"/>
    <n v="1252"/>
    <n v="2295"/>
    <n v="1043"/>
  </r>
  <r>
    <n v="261738"/>
    <d v="2021-12-13T00:00:00"/>
    <n v="2"/>
    <n v="13"/>
    <s v="December"/>
    <n v="2021"/>
    <n v="49"/>
    <s v="Adults (35-64)"/>
    <x v="1"/>
    <x v="1"/>
    <x v="1"/>
    <s v="Mountain-200"/>
    <s v="Black"/>
    <n v="38"/>
    <n v="1"/>
    <n v="1252"/>
    <n v="2295"/>
    <n v="1043"/>
  </r>
  <r>
    <n v="261739"/>
    <d v="2021-12-14T00:00:00"/>
    <n v="2"/>
    <n v="14"/>
    <s v="December"/>
    <n v="2021"/>
    <n v="30"/>
    <s v="Young Adults (25-34)"/>
    <x v="0"/>
    <x v="0"/>
    <x v="3"/>
    <s v="Mountain-200"/>
    <s v="Silver"/>
    <n v="38"/>
    <n v="2"/>
    <n v="2532"/>
    <n v="4640"/>
    <n v="2108"/>
  </r>
  <r>
    <n v="261740"/>
    <d v="2021-12-14T00:00:00"/>
    <n v="2"/>
    <n v="14"/>
    <s v="December"/>
    <n v="2021"/>
    <n v="32"/>
    <s v="Young Adults (25-34)"/>
    <x v="1"/>
    <x v="0"/>
    <x v="0"/>
    <s v="Mountain-200"/>
    <s v="Black"/>
    <n v="46"/>
    <n v="1"/>
    <n v="1252"/>
    <n v="2295"/>
    <n v="1043"/>
  </r>
  <r>
    <n v="261741"/>
    <d v="2021-12-14T00:00:00"/>
    <n v="2"/>
    <n v="14"/>
    <s v="December"/>
    <n v="2021"/>
    <n v="32"/>
    <s v="Young Adults (25-34)"/>
    <x v="0"/>
    <x v="2"/>
    <x v="7"/>
    <s v="Mountain-400-W"/>
    <s v="Silver"/>
    <n v="46"/>
    <n v="1"/>
    <n v="420"/>
    <n v="769"/>
    <n v="349"/>
  </r>
  <r>
    <n v="261742"/>
    <d v="2021-12-15T00:00:00"/>
    <n v="3"/>
    <n v="15"/>
    <s v="December"/>
    <n v="2021"/>
    <n v="29"/>
    <s v="Young Adults (25-34)"/>
    <x v="0"/>
    <x v="0"/>
    <x v="0"/>
    <s v="Mountain-200"/>
    <s v="Silver"/>
    <n v="42"/>
    <n v="1"/>
    <n v="1266"/>
    <n v="2320"/>
    <n v="1054"/>
  </r>
  <r>
    <n v="261743"/>
    <d v="2021-12-16T00:00:00"/>
    <n v="3"/>
    <n v="16"/>
    <s v="December"/>
    <n v="2021"/>
    <n v="33"/>
    <s v="Young Adults (25-34)"/>
    <x v="0"/>
    <x v="2"/>
    <x v="2"/>
    <s v="Mountain-200"/>
    <s v="Black"/>
    <n v="38"/>
    <n v="2"/>
    <n v="2504"/>
    <n v="4590"/>
    <n v="2086"/>
  </r>
  <r>
    <n v="261744"/>
    <d v="2021-12-16T00:00:00"/>
    <n v="3"/>
    <n v="16"/>
    <s v="December"/>
    <n v="2021"/>
    <n v="38"/>
    <s v="Adults (35-64)"/>
    <x v="1"/>
    <x v="2"/>
    <x v="2"/>
    <s v="Mountain-200"/>
    <s v="Black"/>
    <n v="38"/>
    <n v="2"/>
    <n v="2504"/>
    <n v="4590"/>
    <n v="2086"/>
  </r>
  <r>
    <n v="261745"/>
    <d v="2021-12-16T00:00:00"/>
    <n v="3"/>
    <n v="16"/>
    <s v="December"/>
    <n v="2021"/>
    <n v="27"/>
    <s v="Young Adults (25-34)"/>
    <x v="0"/>
    <x v="5"/>
    <x v="10"/>
    <s v="Mountain-200"/>
    <s v="Silver"/>
    <n v="46"/>
    <n v="1"/>
    <n v="1266"/>
    <n v="2320"/>
    <n v="1054"/>
  </r>
  <r>
    <n v="261746"/>
    <d v="2021-12-17T00:00:00"/>
    <n v="3"/>
    <n v="17"/>
    <s v="December"/>
    <n v="2021"/>
    <n v="37"/>
    <s v="Adults (35-64)"/>
    <x v="0"/>
    <x v="0"/>
    <x v="3"/>
    <s v="Mountain-200"/>
    <s v="Silver"/>
    <n v="38"/>
    <n v="2"/>
    <n v="2532"/>
    <n v="4640"/>
    <n v="2108"/>
  </r>
  <r>
    <n v="261747"/>
    <d v="2021-12-17T00:00:00"/>
    <n v="3"/>
    <n v="17"/>
    <s v="December"/>
    <n v="2021"/>
    <n v="31"/>
    <s v="Young Adults (25-34)"/>
    <x v="1"/>
    <x v="2"/>
    <x v="2"/>
    <s v="Mountain-400-W"/>
    <s v="Silver"/>
    <n v="42"/>
    <n v="1"/>
    <n v="420"/>
    <n v="769"/>
    <n v="349"/>
  </r>
  <r>
    <n v="261748"/>
    <d v="2021-12-17T00:00:00"/>
    <n v="3"/>
    <n v="17"/>
    <s v="December"/>
    <n v="2021"/>
    <n v="42"/>
    <s v="Adults (35-64)"/>
    <x v="0"/>
    <x v="3"/>
    <x v="4"/>
    <s v="Mountain-200"/>
    <s v="Silver"/>
    <n v="46"/>
    <n v="1"/>
    <n v="1266"/>
    <n v="2320"/>
    <n v="1054"/>
  </r>
  <r>
    <n v="261749"/>
    <d v="2021-12-18T00:00:00"/>
    <n v="3"/>
    <n v="18"/>
    <s v="December"/>
    <n v="2021"/>
    <n v="35"/>
    <s v="Adults (35-64)"/>
    <x v="0"/>
    <x v="2"/>
    <x v="2"/>
    <s v="Mountain-500"/>
    <s v="Silver"/>
    <n v="42"/>
    <n v="4"/>
    <n v="1232"/>
    <n v="2260"/>
    <n v="1028"/>
  </r>
  <r>
    <n v="261750"/>
    <d v="2021-12-18T00:00:00"/>
    <n v="3"/>
    <n v="18"/>
    <s v="December"/>
    <n v="2021"/>
    <n v="38"/>
    <s v="Adults (35-64)"/>
    <x v="0"/>
    <x v="3"/>
    <x v="4"/>
    <s v="Mountain-200"/>
    <s v="Silver"/>
    <n v="46"/>
    <n v="4"/>
    <n v="5064"/>
    <n v="9280"/>
    <n v="4216"/>
  </r>
  <r>
    <n v="261751"/>
    <d v="2021-12-18T00:00:00"/>
    <n v="3"/>
    <n v="18"/>
    <s v="December"/>
    <n v="2021"/>
    <n v="24"/>
    <s v="Youth (&lt;25)"/>
    <x v="0"/>
    <x v="5"/>
    <x v="11"/>
    <s v="Mountain-200"/>
    <s v="Silver"/>
    <n v="38"/>
    <n v="3"/>
    <n v="3798"/>
    <n v="6960"/>
    <n v="3162"/>
  </r>
  <r>
    <n v="261752"/>
    <d v="2021-12-18T00:00:00"/>
    <n v="3"/>
    <n v="18"/>
    <s v="December"/>
    <n v="2021"/>
    <n v="26"/>
    <s v="Young Adults (25-34)"/>
    <x v="0"/>
    <x v="1"/>
    <x v="1"/>
    <s v="Mountain-400-W"/>
    <s v="Silver"/>
    <n v="42"/>
    <n v="3"/>
    <n v="1260"/>
    <n v="2307"/>
    <n v="1047"/>
  </r>
  <r>
    <n v="261753"/>
    <d v="2021-12-18T00:00:00"/>
    <n v="3"/>
    <n v="18"/>
    <s v="December"/>
    <n v="2021"/>
    <n v="39"/>
    <s v="Adults (35-64)"/>
    <x v="1"/>
    <x v="0"/>
    <x v="0"/>
    <s v="Mountain-200"/>
    <s v="Black"/>
    <n v="42"/>
    <n v="3"/>
    <n v="3756"/>
    <n v="6885"/>
    <n v="3129"/>
  </r>
  <r>
    <n v="261754"/>
    <d v="2021-12-18T00:00:00"/>
    <n v="3"/>
    <n v="18"/>
    <s v="December"/>
    <n v="2021"/>
    <n v="26"/>
    <s v="Young Adults (25-34)"/>
    <x v="1"/>
    <x v="5"/>
    <x v="9"/>
    <s v="Mountain-200"/>
    <s v="Black"/>
    <n v="46"/>
    <n v="1"/>
    <n v="1252"/>
    <n v="2295"/>
    <n v="1043"/>
  </r>
  <r>
    <n v="261755"/>
    <d v="2021-12-18T00:00:00"/>
    <n v="3"/>
    <n v="18"/>
    <s v="December"/>
    <n v="2021"/>
    <n v="36"/>
    <s v="Adults (35-64)"/>
    <x v="1"/>
    <x v="0"/>
    <x v="3"/>
    <s v="Mountain-200"/>
    <s v="Silver"/>
    <n v="38"/>
    <n v="1"/>
    <n v="1266"/>
    <n v="2320"/>
    <n v="1054"/>
  </r>
  <r>
    <n v="261756"/>
    <d v="2021-12-19T00:00:00"/>
    <n v="3"/>
    <n v="19"/>
    <s v="December"/>
    <n v="2021"/>
    <n v="17"/>
    <s v="Youth (&lt;25)"/>
    <x v="1"/>
    <x v="5"/>
    <x v="12"/>
    <s v="Mountain-200"/>
    <s v="Silver"/>
    <n v="46"/>
    <n v="4"/>
    <n v="5064"/>
    <n v="9280"/>
    <n v="4216"/>
  </r>
  <r>
    <n v="261757"/>
    <d v="2021-12-19T00:00:00"/>
    <n v="3"/>
    <n v="19"/>
    <s v="December"/>
    <n v="2021"/>
    <n v="19"/>
    <s v="Youth (&lt;25)"/>
    <x v="0"/>
    <x v="2"/>
    <x v="7"/>
    <s v="Mountain-500"/>
    <s v="Black"/>
    <n v="44"/>
    <n v="4"/>
    <n v="1180"/>
    <n v="2160"/>
    <n v="980"/>
  </r>
  <r>
    <n v="261758"/>
    <d v="2021-12-19T00:00:00"/>
    <n v="3"/>
    <n v="19"/>
    <s v="December"/>
    <n v="2021"/>
    <n v="25"/>
    <s v="Young Adults (25-34)"/>
    <x v="1"/>
    <x v="5"/>
    <x v="9"/>
    <s v="Mountain-200"/>
    <s v="Black"/>
    <n v="38"/>
    <n v="4"/>
    <n v="5008"/>
    <n v="9180"/>
    <n v="4172"/>
  </r>
  <r>
    <n v="261759"/>
    <d v="2021-12-19T00:00:00"/>
    <n v="3"/>
    <n v="19"/>
    <s v="December"/>
    <n v="2021"/>
    <n v="35"/>
    <s v="Adults (35-64)"/>
    <x v="0"/>
    <x v="0"/>
    <x v="13"/>
    <s v="Mountain-100"/>
    <s v="Black"/>
    <n v="48"/>
    <n v="4"/>
    <n v="7592"/>
    <n v="13500"/>
    <n v="5908"/>
  </r>
  <r>
    <n v="261760"/>
    <d v="2021-12-19T00:00:00"/>
    <n v="3"/>
    <n v="19"/>
    <s v="December"/>
    <n v="2021"/>
    <n v="37"/>
    <s v="Adults (35-64)"/>
    <x v="1"/>
    <x v="0"/>
    <x v="13"/>
    <s v="Mountain-200"/>
    <s v="Black"/>
    <n v="38"/>
    <n v="4"/>
    <n v="5008"/>
    <n v="9180"/>
    <n v="4172"/>
  </r>
  <r>
    <n v="261761"/>
    <d v="2021-12-19T00:00:00"/>
    <n v="3"/>
    <n v="19"/>
    <s v="December"/>
    <n v="2021"/>
    <n v="39"/>
    <s v="Adults (35-64)"/>
    <x v="0"/>
    <x v="0"/>
    <x v="0"/>
    <s v="Mountain-200"/>
    <s v="Black"/>
    <n v="46"/>
    <n v="4"/>
    <n v="5008"/>
    <n v="9180"/>
    <n v="4172"/>
  </r>
  <r>
    <n v="261762"/>
    <d v="2021-12-19T00:00:00"/>
    <n v="3"/>
    <n v="19"/>
    <s v="December"/>
    <n v="2021"/>
    <n v="63"/>
    <s v="Adults (35-64)"/>
    <x v="0"/>
    <x v="2"/>
    <x v="5"/>
    <s v="Mountain-200"/>
    <s v="Black"/>
    <n v="46"/>
    <n v="4"/>
    <n v="5008"/>
    <n v="9180"/>
    <n v="4172"/>
  </r>
  <r>
    <n v="261763"/>
    <d v="2021-12-19T00:00:00"/>
    <n v="3"/>
    <n v="19"/>
    <s v="December"/>
    <n v="2021"/>
    <n v="18"/>
    <s v="Youth (&lt;25)"/>
    <x v="1"/>
    <x v="2"/>
    <x v="14"/>
    <s v="Mountain-500"/>
    <s v="Black"/>
    <n v="40"/>
    <n v="2"/>
    <n v="590"/>
    <n v="1080"/>
    <n v="490"/>
  </r>
  <r>
    <n v="261764"/>
    <d v="2021-12-19T00:00:00"/>
    <n v="3"/>
    <n v="19"/>
    <s v="December"/>
    <n v="2021"/>
    <n v="56"/>
    <s v="Adults (35-64)"/>
    <x v="0"/>
    <x v="3"/>
    <x v="15"/>
    <s v="Mountain-200"/>
    <s v="Black"/>
    <n v="46"/>
    <n v="2"/>
    <n v="2504"/>
    <n v="4590"/>
    <n v="2086"/>
  </r>
  <r>
    <n v="261765"/>
    <d v="2021-12-19T00:00:00"/>
    <n v="3"/>
    <n v="19"/>
    <s v="December"/>
    <n v="2021"/>
    <n v="39"/>
    <s v="Adults (35-64)"/>
    <x v="0"/>
    <x v="0"/>
    <x v="3"/>
    <s v="Mountain-200"/>
    <s v="Silver"/>
    <n v="38"/>
    <n v="1"/>
    <n v="1266"/>
    <n v="2320"/>
    <n v="1054"/>
  </r>
  <r>
    <n v="261766"/>
    <d v="2021-12-20T00:00:00"/>
    <n v="3"/>
    <n v="20"/>
    <s v="December"/>
    <n v="2021"/>
    <n v="33"/>
    <s v="Young Adults (25-34)"/>
    <x v="0"/>
    <x v="2"/>
    <x v="7"/>
    <s v="Mountain-100"/>
    <s v="Black"/>
    <n v="38"/>
    <n v="4"/>
    <n v="7592"/>
    <n v="13500"/>
    <n v="5908"/>
  </r>
  <r>
    <n v="261767"/>
    <d v="2021-12-20T00:00:00"/>
    <n v="3"/>
    <n v="20"/>
    <s v="December"/>
    <n v="2021"/>
    <n v="57"/>
    <s v="Adults (35-64)"/>
    <x v="1"/>
    <x v="2"/>
    <x v="5"/>
    <s v="Mountain-200"/>
    <s v="Black"/>
    <n v="46"/>
    <n v="4"/>
    <n v="5008"/>
    <n v="9180"/>
    <n v="4172"/>
  </r>
  <r>
    <n v="261768"/>
    <d v="2021-12-20T00:00:00"/>
    <n v="3"/>
    <n v="20"/>
    <s v="December"/>
    <n v="2021"/>
    <n v="29"/>
    <s v="Young Adults (25-34)"/>
    <x v="1"/>
    <x v="4"/>
    <x v="6"/>
    <s v="Mountain-500"/>
    <s v="Black"/>
    <n v="52"/>
    <n v="3"/>
    <n v="885"/>
    <n v="1620"/>
    <n v="735"/>
  </r>
  <r>
    <n v="261769"/>
    <d v="2021-12-20T00:00:00"/>
    <n v="3"/>
    <n v="20"/>
    <s v="December"/>
    <n v="2021"/>
    <n v="35"/>
    <s v="Adults (35-64)"/>
    <x v="0"/>
    <x v="2"/>
    <x v="5"/>
    <s v="Mountain-200"/>
    <s v="Silver"/>
    <n v="38"/>
    <n v="1"/>
    <n v="1266"/>
    <n v="2320"/>
    <n v="1054"/>
  </r>
  <r>
    <n v="261770"/>
    <d v="2021-12-20T00:00:00"/>
    <n v="3"/>
    <n v="20"/>
    <s v="December"/>
    <n v="2021"/>
    <n v="35"/>
    <s v="Adults (35-64)"/>
    <x v="1"/>
    <x v="2"/>
    <x v="7"/>
    <s v="Mountain-200"/>
    <s v="Silver"/>
    <n v="38"/>
    <n v="1"/>
    <n v="1266"/>
    <n v="2320"/>
    <n v="1054"/>
  </r>
  <r>
    <n v="261771"/>
    <d v="2021-12-21T00:00:00"/>
    <n v="3"/>
    <n v="21"/>
    <s v="December"/>
    <n v="2021"/>
    <n v="26"/>
    <s v="Young Adults (25-34)"/>
    <x v="1"/>
    <x v="5"/>
    <x v="16"/>
    <s v="Mountain-200"/>
    <s v="Silver"/>
    <n v="38"/>
    <n v="3"/>
    <n v="3798"/>
    <n v="6960"/>
    <n v="3162"/>
  </r>
  <r>
    <n v="261772"/>
    <d v="2021-12-21T00:00:00"/>
    <n v="3"/>
    <n v="21"/>
    <s v="December"/>
    <n v="2021"/>
    <n v="23"/>
    <s v="Youth (&lt;25)"/>
    <x v="1"/>
    <x v="1"/>
    <x v="1"/>
    <s v="Mountain-400-W"/>
    <s v="Silver"/>
    <n v="46"/>
    <n v="2"/>
    <n v="840"/>
    <n v="1538"/>
    <n v="698"/>
  </r>
  <r>
    <n v="261773"/>
    <d v="2021-12-22T00:00:00"/>
    <n v="4"/>
    <n v="22"/>
    <s v="December"/>
    <n v="2021"/>
    <n v="30"/>
    <s v="Young Adults (25-34)"/>
    <x v="0"/>
    <x v="0"/>
    <x v="3"/>
    <s v="Mountain-200"/>
    <s v="Silver"/>
    <n v="38"/>
    <n v="3"/>
    <n v="3798"/>
    <n v="6960"/>
    <n v="3162"/>
  </r>
  <r>
    <n v="261774"/>
    <d v="2021-12-22T00:00:00"/>
    <n v="4"/>
    <n v="22"/>
    <s v="December"/>
    <n v="2021"/>
    <n v="41"/>
    <s v="Adults (35-64)"/>
    <x v="1"/>
    <x v="0"/>
    <x v="0"/>
    <s v="Mountain-200"/>
    <s v="Black"/>
    <n v="42"/>
    <n v="3"/>
    <n v="3756"/>
    <n v="6885"/>
    <n v="3129"/>
  </r>
  <r>
    <n v="261775"/>
    <d v="2021-12-22T00:00:00"/>
    <n v="4"/>
    <n v="22"/>
    <s v="December"/>
    <n v="2021"/>
    <n v="19"/>
    <s v="Youth (&lt;25)"/>
    <x v="0"/>
    <x v="2"/>
    <x v="2"/>
    <s v="Mountain-500"/>
    <s v="Silver"/>
    <n v="42"/>
    <n v="1"/>
    <n v="308"/>
    <n v="565"/>
    <n v="257"/>
  </r>
  <r>
    <n v="261776"/>
    <d v="2021-12-22T00:00:00"/>
    <n v="4"/>
    <n v="22"/>
    <s v="December"/>
    <n v="2021"/>
    <n v="25"/>
    <s v="Young Adults (25-34)"/>
    <x v="1"/>
    <x v="5"/>
    <x v="9"/>
    <s v="Mountain-200"/>
    <s v="Black"/>
    <n v="38"/>
    <n v="1"/>
    <n v="1252"/>
    <n v="2295"/>
    <n v="1043"/>
  </r>
  <r>
    <n v="261777"/>
    <d v="2021-12-22T00:00:00"/>
    <n v="4"/>
    <n v="22"/>
    <s v="December"/>
    <n v="2021"/>
    <n v="27"/>
    <s v="Young Adults (25-34)"/>
    <x v="0"/>
    <x v="4"/>
    <x v="6"/>
    <s v="Mountain-200"/>
    <s v="Black"/>
    <n v="46"/>
    <n v="1"/>
    <n v="1252"/>
    <n v="2295"/>
    <n v="1043"/>
  </r>
  <r>
    <n v="261778"/>
    <d v="2021-12-22T00:00:00"/>
    <n v="4"/>
    <n v="22"/>
    <s v="December"/>
    <n v="2021"/>
    <n v="41"/>
    <s v="Adults (35-64)"/>
    <x v="1"/>
    <x v="3"/>
    <x v="15"/>
    <s v="Mountain-200"/>
    <s v="Silver"/>
    <n v="38"/>
    <n v="1"/>
    <n v="1266"/>
    <n v="2320"/>
    <n v="1054"/>
  </r>
  <r>
    <n v="261779"/>
    <d v="2021-12-23T00:00:00"/>
    <n v="4"/>
    <n v="23"/>
    <s v="December"/>
    <n v="2021"/>
    <n v="30"/>
    <s v="Young Adults (25-34)"/>
    <x v="0"/>
    <x v="0"/>
    <x v="13"/>
    <s v="Mountain-200"/>
    <s v="Silver"/>
    <n v="42"/>
    <n v="1"/>
    <n v="1266"/>
    <n v="2320"/>
    <n v="1054"/>
  </r>
  <r>
    <n v="261780"/>
    <d v="2021-12-23T00:00:00"/>
    <n v="4"/>
    <n v="23"/>
    <s v="December"/>
    <n v="2021"/>
    <n v="31"/>
    <s v="Young Adults (25-34)"/>
    <x v="0"/>
    <x v="4"/>
    <x v="6"/>
    <s v="Mountain-200"/>
    <s v="Black"/>
    <n v="42"/>
    <n v="1"/>
    <n v="1252"/>
    <n v="2295"/>
    <n v="1043"/>
  </r>
  <r>
    <n v="261781"/>
    <d v="2021-12-23T00:00:00"/>
    <n v="4"/>
    <n v="23"/>
    <s v="December"/>
    <n v="2021"/>
    <n v="35"/>
    <s v="Adults (35-64)"/>
    <x v="0"/>
    <x v="0"/>
    <x v="0"/>
    <s v="Mountain-500"/>
    <s v="Black"/>
    <n v="42"/>
    <n v="1"/>
    <n v="295"/>
    <n v="540"/>
    <n v="245"/>
  </r>
  <r>
    <n v="261782"/>
    <d v="2021-12-24T00:00:00"/>
    <n v="4"/>
    <n v="24"/>
    <s v="December"/>
    <n v="2021"/>
    <n v="38"/>
    <s v="Adults (35-64)"/>
    <x v="1"/>
    <x v="2"/>
    <x v="5"/>
    <s v="Mountain-200"/>
    <s v="Black"/>
    <n v="42"/>
    <n v="4"/>
    <n v="5008"/>
    <n v="9180"/>
    <n v="41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C3CB37-1AAB-4ED3-80CA-F78426266175}"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15:B19"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axis="axisRow"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7"/>
  </rowFields>
  <rowItems count="4">
    <i>
      <x/>
    </i>
    <i>
      <x v="1"/>
    </i>
    <i>
      <x v="2"/>
    </i>
    <i t="grand">
      <x/>
    </i>
  </rowItems>
  <colItems count="1">
    <i/>
  </colItems>
  <dataFields count="1">
    <dataField name="Sum of Sales" fld="16" baseField="0" baseItem="0"/>
  </dataFields>
  <chartFormats count="5">
    <chartFormat chart="1" format="1"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7" count="1" selected="0">
            <x v="0"/>
          </reference>
        </references>
      </pivotArea>
    </chartFormat>
    <chartFormat chart="8" format="8">
      <pivotArea type="data" outline="0" fieldPosition="0">
        <references count="2">
          <reference field="4294967294" count="1" selected="0">
            <x v="0"/>
          </reference>
          <reference field="7" count="1" selected="0">
            <x v="1"/>
          </reference>
        </references>
      </pivotArea>
    </chartFormat>
    <chartFormat chart="8" format="9">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98E31A-447B-4E08-A6D4-53BE26DBD9DC}"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8:B13"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axis="axisRow" showAll="0">
      <items count="5">
        <item x="3"/>
        <item x="0"/>
        <item x="1"/>
        <item x="2"/>
        <item t="default"/>
      </items>
    </pivotField>
    <pivotField showAll="0"/>
    <pivotField showAll="0"/>
    <pivotField showAll="0"/>
    <pivotField showAll="0"/>
    <pivotField dataField="1" showAll="0"/>
    <pivotField showAll="0"/>
  </pivotFields>
  <rowFields count="1">
    <field x="11"/>
  </rowFields>
  <rowItems count="5">
    <i>
      <x/>
    </i>
    <i>
      <x v="1"/>
    </i>
    <i>
      <x v="2"/>
    </i>
    <i>
      <x v="3"/>
    </i>
    <i t="grand">
      <x/>
    </i>
  </rowItems>
  <colItems count="1">
    <i/>
  </colItems>
  <dataFields count="1">
    <dataField name="Sum of Sales" fld="16" baseField="0" baseItem="0"/>
  </dataFields>
  <chartFormats count="2">
    <chartFormat chart="1"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0FBEDC-9987-4BAD-9B03-9088758893E4}"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3:B6"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axis="axisRow"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8"/>
  </rowFields>
  <rowItems count="3">
    <i>
      <x/>
    </i>
    <i>
      <x v="1"/>
    </i>
    <i t="grand">
      <x/>
    </i>
  </rowItems>
  <colItems count="1">
    <i/>
  </colItems>
  <dataFields count="1">
    <dataField name="Sum of Sales" fld="16" baseField="0" baseItem="0"/>
  </dataFields>
  <chartFormats count="4">
    <chartFormat chart="1" format="1"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8" count="1" selected="0">
            <x v="0"/>
          </reference>
        </references>
      </pivotArea>
    </chartFormat>
    <chartFormat chart="8"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7CEEEC-5D16-4016-B6AE-389C366E5E9C}"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28:B35"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axis="axisRow"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9"/>
  </rowFields>
  <rowItems count="7">
    <i>
      <x/>
    </i>
    <i>
      <x v="1"/>
    </i>
    <i>
      <x v="2"/>
    </i>
    <i>
      <x v="3"/>
    </i>
    <i>
      <x v="4"/>
    </i>
    <i>
      <x v="5"/>
    </i>
    <i t="grand">
      <x/>
    </i>
  </rowItems>
  <colItems count="1">
    <i/>
  </colItems>
  <dataFields count="1">
    <dataField name="Sum of Sales" fld="16" baseField="0" baseItem="0"/>
  </dataFields>
  <chartFormats count="13">
    <chartFormat chart="1"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2">
          <reference field="4294967294" count="1" selected="0">
            <x v="0"/>
          </reference>
          <reference field="9" count="1" selected="0">
            <x v="1"/>
          </reference>
        </references>
      </pivotArea>
    </chartFormat>
    <chartFormat chart="14" format="2" series="1">
      <pivotArea type="data" outline="0" fieldPosition="0">
        <references count="2">
          <reference field="4294967294" count="1" selected="0">
            <x v="0"/>
          </reference>
          <reference field="9" count="1" selected="0">
            <x v="2"/>
          </reference>
        </references>
      </pivotArea>
    </chartFormat>
    <chartFormat chart="14" format="3" series="1">
      <pivotArea type="data" outline="0" fieldPosition="0">
        <references count="2">
          <reference field="4294967294" count="1" selected="0">
            <x v="0"/>
          </reference>
          <reference field="9" count="1" selected="0">
            <x v="3"/>
          </reference>
        </references>
      </pivotArea>
    </chartFormat>
    <chartFormat chart="14" format="4" series="1">
      <pivotArea type="data" outline="0" fieldPosition="0">
        <references count="2">
          <reference field="4294967294" count="1" selected="0">
            <x v="0"/>
          </reference>
          <reference field="9" count="1" selected="0">
            <x v="4"/>
          </reference>
        </references>
      </pivotArea>
    </chartFormat>
    <chartFormat chart="14" format="5" series="1">
      <pivotArea type="data" outline="0" fieldPosition="0">
        <references count="2">
          <reference field="4294967294" count="1" selected="0">
            <x v="0"/>
          </reference>
          <reference field="9" count="1" selected="0">
            <x v="5"/>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5B9A98-DBFB-433B-8D45-F511A656C27A}"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21:B26" firstHeaderRow="1" firstDataRow="1" firstDataCol="1"/>
  <pivotFields count="18">
    <pivotField showAll="0"/>
    <pivotField numFmtId="14" showAll="0"/>
    <pivotField axis="axisRow"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2"/>
  </rowFields>
  <rowItems count="5">
    <i>
      <x/>
    </i>
    <i>
      <x v="1"/>
    </i>
    <i>
      <x v="2"/>
    </i>
    <i>
      <x v="3"/>
    </i>
    <i t="grand">
      <x/>
    </i>
  </rowItems>
  <colItems count="1">
    <i/>
  </colItems>
  <dataFields count="1">
    <dataField name="Sum of Sales" fld="16" baseField="0" baseItem="0"/>
  </dataFields>
  <chartFormats count="2">
    <chartFormat chart="2"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A21B91-37FA-4D60-992B-DCE02965F0FA}" name="PivotTable14"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D28" firstHeaderRow="1" firstDataRow="2" firstDataCol="1"/>
  <pivotFields count="18">
    <pivotField showAll="0"/>
    <pivotField numFmtId="14" showAll="0"/>
    <pivotField numFmtId="1" showAll="0"/>
    <pivotField showAll="0"/>
    <pivotField showAll="0"/>
    <pivotField showAll="0"/>
    <pivotField showAll="0"/>
    <pivotField showAll="0"/>
    <pivotField axis="axisCol" showAll="0">
      <items count="3">
        <item x="0"/>
        <item x="1"/>
        <item t="default"/>
      </items>
    </pivotField>
    <pivotField axis="axisRow" showAll="0">
      <items count="7">
        <item x="2"/>
        <item x="4"/>
        <item x="5"/>
        <item x="3"/>
        <item x="1"/>
        <item x="0"/>
        <item t="default"/>
      </items>
    </pivotField>
    <pivotField axis="axisRow" showAll="0">
      <items count="18">
        <item x="6"/>
        <item x="0"/>
        <item x="1"/>
        <item x="8"/>
        <item x="15"/>
        <item x="2"/>
        <item x="12"/>
        <item x="4"/>
        <item x="13"/>
        <item x="5"/>
        <item x="9"/>
        <item x="10"/>
        <item x="11"/>
        <item x="16"/>
        <item x="14"/>
        <item x="7"/>
        <item x="3"/>
        <item t="default"/>
      </items>
    </pivotField>
    <pivotField showAll="0"/>
    <pivotField showAll="0"/>
    <pivotField showAll="0"/>
    <pivotField showAll="0"/>
    <pivotField showAll="0"/>
    <pivotField dataField="1" showAll="0"/>
    <pivotField showAll="0"/>
  </pivotFields>
  <rowFields count="2">
    <field x="9"/>
    <field x="10"/>
  </rowFields>
  <rowItems count="24">
    <i>
      <x/>
    </i>
    <i r="1">
      <x v="5"/>
    </i>
    <i r="1">
      <x v="9"/>
    </i>
    <i r="1">
      <x v="14"/>
    </i>
    <i r="1">
      <x v="15"/>
    </i>
    <i>
      <x v="1"/>
    </i>
    <i r="1">
      <x/>
    </i>
    <i>
      <x v="2"/>
    </i>
    <i r="1">
      <x v="6"/>
    </i>
    <i r="1">
      <x v="10"/>
    </i>
    <i r="1">
      <x v="11"/>
    </i>
    <i r="1">
      <x v="12"/>
    </i>
    <i r="1">
      <x v="13"/>
    </i>
    <i>
      <x v="3"/>
    </i>
    <i r="1">
      <x v="3"/>
    </i>
    <i r="1">
      <x v="4"/>
    </i>
    <i r="1">
      <x v="7"/>
    </i>
    <i>
      <x v="4"/>
    </i>
    <i r="1">
      <x v="2"/>
    </i>
    <i>
      <x v="5"/>
    </i>
    <i r="1">
      <x v="1"/>
    </i>
    <i r="1">
      <x v="8"/>
    </i>
    <i r="1">
      <x v="16"/>
    </i>
    <i t="grand">
      <x/>
    </i>
  </rowItems>
  <colFields count="1">
    <field x="8"/>
  </colFields>
  <colItems count="3">
    <i>
      <x/>
    </i>
    <i>
      <x v="1"/>
    </i>
    <i t="grand">
      <x/>
    </i>
  </colItems>
  <dataFields count="1">
    <dataField name=" " fld="16" baseField="0" baseItem="0" numFmtId="3"/>
  </dataFields>
  <chartFormats count="2">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Gender1" xr10:uid="{CC3BCBBC-3DFB-46D1-B07C-3CCD85680C09}" sourceName="Customer_Gender">
  <pivotTables>
    <pivotTable tabId="21" name="PivotTable5"/>
    <pivotTable tabId="21" name="PivotTable6"/>
    <pivotTable tabId="21" name="PivotTable7"/>
    <pivotTable tabId="21" name="PivotTable8"/>
    <pivotTable tabId="21" name="PivotTable9"/>
  </pivotTables>
  <data>
    <tabular pivotCacheId="142383710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1" xr10:uid="{3D39546E-0251-4DFD-ADEC-CC33902D91AA}" sourceName="Age_Group">
  <pivotTables>
    <pivotTable tabId="21" name="PivotTable7"/>
    <pivotTable tabId="21" name="PivotTable5"/>
    <pivotTable tabId="21" name="PivotTable6"/>
    <pivotTable tabId="21" name="PivotTable8"/>
    <pivotTable tabId="21" name="PivotTable9"/>
  </pivotTables>
  <data>
    <tabular pivotCacheId="1423837100">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2" xr10:uid="{B2F1C51B-CF17-4594-8610-AA65E9A91CC5}" sourceName="Product_Type">
  <pivotTables>
    <pivotTable tabId="21" name="PivotTable6"/>
    <pivotTable tabId="21" name="PivotTable5"/>
    <pivotTable tabId="21" name="PivotTable7"/>
    <pivotTable tabId="21" name="PivotTable8"/>
    <pivotTable tabId="21" name="PivotTable9"/>
  </pivotTables>
  <data>
    <tabular pivotCacheId="1423837100">
      <items count="4">
        <i x="3" s="1"/>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173CF685-F4E7-468D-80BE-5A420E3A8912}" sourceName="Country">
  <pivotTables>
    <pivotTable tabId="21" name="PivotTable9"/>
    <pivotTable tabId="21" name="PivotTable5"/>
    <pivotTable tabId="21" name="PivotTable6"/>
    <pivotTable tabId="21" name="PivotTable7"/>
    <pivotTable tabId="21" name="PivotTable8"/>
  </pivotTables>
  <data>
    <tabular pivotCacheId="1423837100">
      <items count="6">
        <i x="2" s="1"/>
        <i x="4" s="1"/>
        <i x="5" s="1"/>
        <i x="3"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Number" xr10:uid="{068ADDD3-B4F1-43FF-9E33-8880ECBAA04D}" sourceName="WeekNumber">
  <pivotTables>
    <pivotTable tabId="21" name="PivotTable8"/>
    <pivotTable tabId="21" name="PivotTable5"/>
    <pivotTable tabId="21" name="PivotTable6"/>
    <pivotTable tabId="21" name="PivotTable7"/>
    <pivotTable tabId="21" name="PivotTable9"/>
  </pivotTables>
  <data>
    <tabular pivotCacheId="1423837100">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Gender 1" xr10:uid="{86BDE269-A920-4DB4-A753-0961AD55688F}" cache="Slicer_Customer_Gender1" caption="Gender" style="SlicerStyleLight6" rowHeight="182880"/>
  <slicer name="Age_Group 1" xr10:uid="{7F3600F1-3FE3-4F42-941C-E6D20CF5B81D}" cache="Slicer_Age_Group1" caption="Age_Group" style="SlicerStyleLight6" rowHeight="182880"/>
  <slicer name="Product_Type 2" xr10:uid="{111CF688-CE2D-40F3-BDA1-F1E9E158DD39}" cache="Slicer_Product_Type2" caption="Product_Type" style="SlicerStyleLight6" rowHeight="182880"/>
  <slicer name="Country" xr10:uid="{EBD34DB2-2493-4730-A5B9-C66DD4CE054A}" cache="Slicer_Country" caption="Country" columnCount="2" style="SlicerStyleLight6" rowHeight="241300"/>
  <slicer name="WeekNumber" xr10:uid="{FD88EFC6-322C-45D3-919A-5E4D871C572A}" cache="Slicer_WeekNumber" caption="WeekNumber" style="SlicerStyleLight6"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3FD179-FDBA-49CC-A409-A4F7BE6C2E15}" name="Products" displayName="Products" ref="A1:F19" totalsRowShown="0" headerRowDxfId="6">
  <autoFilter ref="A1:F19" xr:uid="{8E3FD179-FDBA-49CC-A409-A4F7BE6C2E15}"/>
  <tableColumns count="6">
    <tableColumn id="1" xr3:uid="{D7C0CDAC-6ADE-4CF7-9D82-305797C7C0F7}" name="Product_ID"/>
    <tableColumn id="2" xr3:uid="{D46B2125-36DB-4A31-9C42-DFAE84C26245}" name="Product_Category"/>
    <tableColumn id="3" xr3:uid="{6134ED08-1DF0-4178-AE1E-630846D86556}" name="Sub_Category"/>
    <tableColumn id="4" xr3:uid="{4C7B121A-23EA-4434-A675-573D890120BE}" name="Product_Description"/>
    <tableColumn id="5" xr3:uid="{28D8CAFB-A67F-46CB-B79A-1EA9765334FC}" name=" Unit_Cost " dataDxfId="5"/>
    <tableColumn id="6" xr3:uid="{FE36FC95-51AE-43C7-A742-2B1358888D1B}" name=" Unit_Price "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90DBD9-E991-495B-9482-72E8827ECEF7}" name="BikeSales" displayName="BikeSales" ref="A1:R88" totalsRowShown="0">
  <autoFilter ref="A1:R88" xr:uid="{6D90DBD9-E991-495B-9482-72E8827ECEF7}"/>
  <tableColumns count="18">
    <tableColumn id="1" xr3:uid="{8BC9A8F8-C417-448E-9BEF-D9E838615409}" name="Sales_Order #" dataDxfId="3"/>
    <tableColumn id="2" xr3:uid="{4EFB6093-E04F-4127-8468-C6B27E2AC76F}" name="Date" dataDxfId="2"/>
    <tableColumn id="28" xr3:uid="{A4394C19-033E-498D-AB30-854B828499C6}" name="WeekNumber" dataDxfId="1">
      <calculatedColumnFormula array="1">WeekOfMonth(B2)</calculatedColumnFormula>
    </tableColumn>
    <tableColumn id="3" xr3:uid="{06D24338-D3BD-4A6D-B7B3-E5AFEFDB5893}" name="Day"/>
    <tableColumn id="4" xr3:uid="{845510D9-5884-4AAD-B8FE-90078E930895}" name="Month"/>
    <tableColumn id="5" xr3:uid="{180F0A7E-71B2-420B-8110-AE78E56E9461}" name="Year"/>
    <tableColumn id="6" xr3:uid="{57EC2837-9924-43C1-843F-048FFBC51DCF}" name="Customer_Age"/>
    <tableColumn id="7" xr3:uid="{48F02949-B3CF-4D3C-B247-E5C4159FF49F}" name="Age_Group" dataDxfId="0"/>
    <tableColumn id="8" xr3:uid="{2E02606E-5E91-4797-A6C6-1BC41C39F35C}" name="Customer_Gender"/>
    <tableColumn id="29" xr3:uid="{BB29145A-552E-4244-9C45-0490940D2179}" name="Country"/>
    <tableColumn id="10" xr3:uid="{4D1A6C80-FB10-4D53-A955-298A6DA7B1F3}" name="State"/>
    <tableColumn id="18" xr3:uid="{0F67D98D-F683-48B0-9117-44C731DB0124}" name="Product_Type"/>
    <tableColumn id="25" xr3:uid="{E6D002D8-15E8-41AA-A9FE-57D4A6E7321A}" name="Product_Color"/>
    <tableColumn id="24" xr3:uid="{08AA3862-D4D3-4F84-A4BE-DB8427DEBB4C}" name="Product_Size"/>
    <tableColumn id="12" xr3:uid="{3CCB8202-CC64-4D59-AC1D-5ED3ADDA1195}" name="Order_Quantity"/>
    <tableColumn id="19" xr3:uid="{4E5B22EE-E892-4EF3-993E-5F44EF131257}" name="Total Cost"/>
    <tableColumn id="20" xr3:uid="{2E77CD99-5FE8-45DA-8905-4EB2FEAE3C3F}" name="Sales"/>
    <tableColumn id="21" xr3:uid="{4AFE3F8B-D97C-446C-AE9C-4E4735F90570}"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90"/>
  <sheetViews>
    <sheetView workbookViewId="0">
      <selection activeCell="A12" sqref="A12"/>
    </sheetView>
  </sheetViews>
  <sheetFormatPr defaultRowHeight="15" x14ac:dyDescent="0.25"/>
  <cols>
    <col min="1" max="1" width="13.28515625" bestFit="1" customWidth="1"/>
    <col min="2" max="2" width="10.7109375" bestFit="1" customWidth="1"/>
    <col min="4" max="4" width="10.140625" bestFit="1" customWidth="1"/>
    <col min="7" max="7" width="19.7109375" style="8" bestFit="1" customWidth="1"/>
    <col min="9" max="9" width="15.42578125" bestFit="1" customWidth="1"/>
    <col min="10" max="10" width="19.85546875" bestFit="1" customWidth="1"/>
    <col min="12" max="12" width="14.85546875" bestFit="1" customWidth="1"/>
    <col min="13" max="13" width="25" bestFit="1" customWidth="1"/>
    <col min="15" max="15" width="10.42578125" bestFit="1" customWidth="1"/>
    <col min="16" max="16" width="11" bestFit="1" customWidth="1"/>
    <col min="17" max="18" width="9.85546875" bestFit="1" customWidth="1"/>
    <col min="19" max="19" width="10.85546875" bestFit="1" customWidth="1"/>
  </cols>
  <sheetData>
    <row r="1" spans="1:19" s="4" customFormat="1" x14ac:dyDescent="0.25">
      <c r="A1" s="4" t="s">
        <v>0</v>
      </c>
      <c r="B1" s="4" t="s">
        <v>1</v>
      </c>
      <c r="C1" s="4" t="s">
        <v>2</v>
      </c>
      <c r="D1" s="4" t="s">
        <v>3</v>
      </c>
      <c r="E1" s="4" t="s">
        <v>4</v>
      </c>
      <c r="F1" s="4" t="s">
        <v>5</v>
      </c>
      <c r="G1" s="7" t="s">
        <v>6</v>
      </c>
      <c r="H1" s="4" t="s">
        <v>7</v>
      </c>
      <c r="I1" s="4" t="s">
        <v>8</v>
      </c>
      <c r="J1" s="4" t="s">
        <v>9</v>
      </c>
      <c r="K1" s="4" t="s">
        <v>10</v>
      </c>
      <c r="L1" s="4" t="s">
        <v>11</v>
      </c>
      <c r="M1" s="6" t="s">
        <v>12</v>
      </c>
      <c r="N1" s="4" t="s">
        <v>13</v>
      </c>
      <c r="O1" s="4" t="s">
        <v>14</v>
      </c>
      <c r="P1" s="4" t="s">
        <v>15</v>
      </c>
      <c r="Q1" s="4" t="s">
        <v>16</v>
      </c>
      <c r="R1" s="4" t="s">
        <v>17</v>
      </c>
      <c r="S1" s="4" t="s">
        <v>18</v>
      </c>
    </row>
    <row r="2" spans="1:19" x14ac:dyDescent="0.25">
      <c r="A2" s="3" t="s">
        <v>19</v>
      </c>
      <c r="B2" s="1">
        <v>44531</v>
      </c>
      <c r="C2">
        <v>1</v>
      </c>
      <c r="D2" t="s">
        <v>20</v>
      </c>
      <c r="E2">
        <v>2021</v>
      </c>
      <c r="F2">
        <v>39</v>
      </c>
      <c r="G2" s="8" t="s">
        <v>21</v>
      </c>
      <c r="H2" t="s">
        <v>22</v>
      </c>
      <c r="I2" t="s">
        <v>23</v>
      </c>
      <c r="J2" t="s">
        <v>24</v>
      </c>
      <c r="K2" t="s">
        <v>25</v>
      </c>
      <c r="L2" t="s">
        <v>26</v>
      </c>
      <c r="M2" s="5" t="s">
        <v>27</v>
      </c>
      <c r="N2">
        <v>4</v>
      </c>
      <c r="O2" s="2">
        <v>1252</v>
      </c>
      <c r="P2" s="2">
        <v>2295</v>
      </c>
      <c r="Q2" s="2">
        <v>4172</v>
      </c>
      <c r="R2" s="2">
        <f>N2*O2</f>
        <v>5008</v>
      </c>
      <c r="S2" s="2">
        <f>N2*P2</f>
        <v>9180</v>
      </c>
    </row>
    <row r="3" spans="1:19" x14ac:dyDescent="0.25">
      <c r="A3" s="3" t="s">
        <v>19</v>
      </c>
      <c r="B3" s="1">
        <v>44531</v>
      </c>
      <c r="C3">
        <v>1</v>
      </c>
      <c r="D3" t="s">
        <v>20</v>
      </c>
      <c r="E3">
        <v>2021</v>
      </c>
      <c r="F3">
        <v>44</v>
      </c>
      <c r="G3" s="8" t="s">
        <v>21</v>
      </c>
      <c r="H3" t="s">
        <v>28</v>
      </c>
      <c r="I3" t="s">
        <v>29</v>
      </c>
      <c r="J3" t="s">
        <v>30</v>
      </c>
      <c r="K3" t="s">
        <v>25</v>
      </c>
      <c r="L3" t="s">
        <v>26</v>
      </c>
      <c r="M3" s="5" t="s">
        <v>31</v>
      </c>
      <c r="N3">
        <v>1</v>
      </c>
      <c r="O3" s="2">
        <v>1266</v>
      </c>
      <c r="P3" s="2">
        <v>2320</v>
      </c>
      <c r="Q3" s="2">
        <v>1054</v>
      </c>
      <c r="R3" s="2">
        <f t="shared" ref="R3:R67" si="0">N3*O3</f>
        <v>1266</v>
      </c>
      <c r="S3" s="2">
        <f t="shared" ref="S3:S67" si="1">N3*P3</f>
        <v>2320</v>
      </c>
    </row>
    <row r="4" spans="1:19" x14ac:dyDescent="0.25">
      <c r="A4" s="3" t="s">
        <v>32</v>
      </c>
      <c r="B4" s="1">
        <v>44532</v>
      </c>
      <c r="C4">
        <v>2</v>
      </c>
      <c r="D4" t="s">
        <v>20</v>
      </c>
      <c r="E4">
        <v>2021</v>
      </c>
      <c r="F4">
        <v>37</v>
      </c>
      <c r="G4" s="8" t="s">
        <v>21</v>
      </c>
      <c r="H4" t="s">
        <v>28</v>
      </c>
      <c r="I4" t="s">
        <v>33</v>
      </c>
      <c r="J4" t="s">
        <v>24</v>
      </c>
      <c r="K4" t="s">
        <v>25</v>
      </c>
      <c r="L4" t="s">
        <v>26</v>
      </c>
      <c r="M4" s="5" t="s">
        <v>34</v>
      </c>
      <c r="N4">
        <v>2</v>
      </c>
      <c r="O4" s="2">
        <v>420</v>
      </c>
      <c r="P4" s="2">
        <v>769</v>
      </c>
      <c r="Q4" s="2">
        <v>698</v>
      </c>
      <c r="R4" s="2">
        <f t="shared" si="0"/>
        <v>840</v>
      </c>
      <c r="S4" s="2">
        <f t="shared" si="1"/>
        <v>1538</v>
      </c>
    </row>
    <row r="5" spans="1:19" x14ac:dyDescent="0.25">
      <c r="A5" s="3" t="s">
        <v>35</v>
      </c>
      <c r="B5" s="1">
        <v>44532</v>
      </c>
      <c r="C5">
        <v>2</v>
      </c>
      <c r="D5" t="s">
        <v>20</v>
      </c>
      <c r="E5">
        <v>2021</v>
      </c>
      <c r="F5">
        <v>31</v>
      </c>
      <c r="G5" s="8" t="s">
        <v>36</v>
      </c>
      <c r="H5" t="s">
        <v>22</v>
      </c>
      <c r="I5" t="s">
        <v>37</v>
      </c>
      <c r="J5" t="s">
        <v>38</v>
      </c>
      <c r="K5" t="s">
        <v>25</v>
      </c>
      <c r="L5" t="s">
        <v>26</v>
      </c>
      <c r="M5" s="5" t="s">
        <v>39</v>
      </c>
      <c r="N5">
        <v>1</v>
      </c>
      <c r="O5" s="2">
        <v>420</v>
      </c>
      <c r="P5" s="2">
        <v>769</v>
      </c>
      <c r="Q5" s="2">
        <v>349</v>
      </c>
      <c r="R5" s="2">
        <f t="shared" si="0"/>
        <v>420</v>
      </c>
      <c r="S5" s="2">
        <f t="shared" si="1"/>
        <v>769</v>
      </c>
    </row>
    <row r="6" spans="1:19" x14ac:dyDescent="0.25">
      <c r="A6" s="3" t="s">
        <v>40</v>
      </c>
      <c r="B6" s="1">
        <v>44533</v>
      </c>
      <c r="C6">
        <v>3</v>
      </c>
      <c r="D6" t="s">
        <v>20</v>
      </c>
      <c r="E6">
        <v>2021</v>
      </c>
      <c r="F6">
        <v>37</v>
      </c>
      <c r="G6" s="8" t="s">
        <v>21</v>
      </c>
      <c r="H6" t="s">
        <v>22</v>
      </c>
      <c r="I6" t="s">
        <v>41</v>
      </c>
      <c r="J6" t="s">
        <v>24</v>
      </c>
      <c r="K6" t="s">
        <v>25</v>
      </c>
      <c r="L6" t="s">
        <v>26</v>
      </c>
      <c r="M6" s="5" t="s">
        <v>27</v>
      </c>
      <c r="N6">
        <v>2</v>
      </c>
      <c r="O6" s="2">
        <v>0</v>
      </c>
      <c r="P6" s="2">
        <v>2295</v>
      </c>
      <c r="Q6" s="2">
        <v>2086</v>
      </c>
      <c r="R6" s="2">
        <f t="shared" si="0"/>
        <v>0</v>
      </c>
      <c r="S6" s="2">
        <f t="shared" si="1"/>
        <v>4590</v>
      </c>
    </row>
    <row r="7" spans="1:19" x14ac:dyDescent="0.25">
      <c r="A7" s="3" t="s">
        <v>42</v>
      </c>
      <c r="B7" s="1">
        <v>44533</v>
      </c>
      <c r="C7">
        <v>3</v>
      </c>
      <c r="D7" t="s">
        <v>20</v>
      </c>
      <c r="E7">
        <v>2021</v>
      </c>
      <c r="F7">
        <v>24</v>
      </c>
      <c r="G7" s="8" t="s">
        <v>43</v>
      </c>
      <c r="H7" t="s">
        <v>22</v>
      </c>
      <c r="I7" t="s">
        <v>29</v>
      </c>
      <c r="J7" t="s">
        <v>30</v>
      </c>
      <c r="K7" t="s">
        <v>25</v>
      </c>
      <c r="L7" t="s">
        <v>26</v>
      </c>
      <c r="M7" s="5" t="s">
        <v>44</v>
      </c>
      <c r="N7">
        <v>1</v>
      </c>
      <c r="O7" s="2">
        <v>1252</v>
      </c>
      <c r="P7" s="2">
        <v>2295</v>
      </c>
      <c r="Q7" s="2">
        <v>1043</v>
      </c>
      <c r="R7" s="2">
        <f t="shared" si="0"/>
        <v>1252</v>
      </c>
      <c r="S7" s="2">
        <f t="shared" si="1"/>
        <v>2295</v>
      </c>
    </row>
    <row r="8" spans="1:19" x14ac:dyDescent="0.25">
      <c r="A8" s="3" t="s">
        <v>45</v>
      </c>
      <c r="B8" s="1">
        <v>44533</v>
      </c>
      <c r="C8">
        <v>3</v>
      </c>
      <c r="D8" t="s">
        <v>20</v>
      </c>
      <c r="E8">
        <v>2021</v>
      </c>
      <c r="F8">
        <v>37</v>
      </c>
      <c r="G8" s="8" t="s">
        <v>21</v>
      </c>
      <c r="H8" t="s">
        <v>28</v>
      </c>
      <c r="I8" t="s">
        <v>46</v>
      </c>
      <c r="J8" t="s">
        <v>47</v>
      </c>
      <c r="K8" t="s">
        <v>25</v>
      </c>
      <c r="L8" t="s">
        <v>26</v>
      </c>
      <c r="M8" s="5" t="s">
        <v>27</v>
      </c>
      <c r="N8">
        <v>1</v>
      </c>
      <c r="O8" s="2">
        <v>1252</v>
      </c>
      <c r="P8" s="2">
        <v>2295</v>
      </c>
      <c r="Q8" s="2">
        <v>1043</v>
      </c>
      <c r="R8" s="2">
        <f t="shared" si="0"/>
        <v>1252</v>
      </c>
      <c r="S8" s="2">
        <f t="shared" si="1"/>
        <v>2295</v>
      </c>
    </row>
    <row r="9" spans="1:19" s="9" customFormat="1" x14ac:dyDescent="0.25">
      <c r="A9" s="12" t="s">
        <v>45</v>
      </c>
      <c r="B9" s="13">
        <v>44533</v>
      </c>
      <c r="C9" s="9">
        <v>3</v>
      </c>
      <c r="D9" s="9" t="s">
        <v>20</v>
      </c>
      <c r="E9" s="9">
        <v>2021</v>
      </c>
      <c r="F9" s="9">
        <v>37</v>
      </c>
      <c r="G9" s="14" t="s">
        <v>21</v>
      </c>
      <c r="H9" s="9" t="s">
        <v>28</v>
      </c>
      <c r="I9" s="9" t="s">
        <v>23</v>
      </c>
      <c r="J9" s="9" t="s">
        <v>47</v>
      </c>
      <c r="K9" s="9" t="s">
        <v>25</v>
      </c>
      <c r="L9" s="9" t="s">
        <v>26</v>
      </c>
      <c r="M9" s="10" t="s">
        <v>27</v>
      </c>
      <c r="N9" s="9">
        <v>1</v>
      </c>
      <c r="O9" s="11">
        <v>1252</v>
      </c>
      <c r="P9" s="11">
        <v>2295</v>
      </c>
      <c r="Q9" s="11">
        <v>1043</v>
      </c>
      <c r="R9" s="11">
        <f>N9*O9</f>
        <v>1252</v>
      </c>
      <c r="S9" s="11">
        <f>N9*P9</f>
        <v>2295</v>
      </c>
    </row>
    <row r="10" spans="1:19" x14ac:dyDescent="0.25">
      <c r="A10" s="3" t="s">
        <v>48</v>
      </c>
      <c r="B10" s="1">
        <v>44534</v>
      </c>
      <c r="C10">
        <v>4</v>
      </c>
      <c r="D10" t="s">
        <v>20</v>
      </c>
      <c r="E10">
        <v>2021</v>
      </c>
      <c r="F10">
        <v>31</v>
      </c>
      <c r="G10" s="8" t="s">
        <v>36</v>
      </c>
      <c r="H10" t="s">
        <v>22</v>
      </c>
      <c r="I10" t="s">
        <v>37</v>
      </c>
      <c r="J10" t="s">
        <v>38</v>
      </c>
      <c r="K10" t="s">
        <v>25</v>
      </c>
      <c r="L10" t="s">
        <v>26</v>
      </c>
      <c r="M10" s="5" t="s">
        <v>39</v>
      </c>
      <c r="N10">
        <v>4</v>
      </c>
      <c r="O10" s="2">
        <v>420</v>
      </c>
      <c r="P10" s="2">
        <v>0</v>
      </c>
      <c r="Q10" s="2">
        <v>1396</v>
      </c>
      <c r="R10" s="2">
        <f t="shared" si="0"/>
        <v>1680</v>
      </c>
      <c r="S10" s="2">
        <f t="shared" si="1"/>
        <v>0</v>
      </c>
    </row>
    <row r="11" spans="1:19" x14ac:dyDescent="0.25">
      <c r="A11" s="3" t="s">
        <v>49</v>
      </c>
      <c r="B11" s="1">
        <v>44535</v>
      </c>
      <c r="C11">
        <v>5</v>
      </c>
      <c r="D11" t="s">
        <v>20</v>
      </c>
      <c r="E11">
        <v>2021</v>
      </c>
      <c r="F11">
        <v>39</v>
      </c>
      <c r="G11" s="8" t="s">
        <v>21</v>
      </c>
      <c r="H11" t="s">
        <v>22</v>
      </c>
      <c r="I11" t="s">
        <v>23</v>
      </c>
      <c r="J11" t="s">
        <v>24</v>
      </c>
      <c r="K11" t="s">
        <v>25</v>
      </c>
      <c r="L11" t="s">
        <v>26</v>
      </c>
      <c r="M11" s="5" t="s">
        <v>27</v>
      </c>
      <c r="N11">
        <v>4</v>
      </c>
      <c r="O11" s="2">
        <v>1252</v>
      </c>
      <c r="P11" s="2">
        <v>2295</v>
      </c>
      <c r="Q11" s="2">
        <v>4172</v>
      </c>
      <c r="R11" s="2">
        <f t="shared" si="0"/>
        <v>5008</v>
      </c>
      <c r="S11" s="2">
        <f t="shared" si="1"/>
        <v>9180</v>
      </c>
    </row>
    <row r="12" spans="1:19" x14ac:dyDescent="0.25">
      <c r="A12" s="3" t="s">
        <v>50</v>
      </c>
      <c r="B12" s="1">
        <v>44535</v>
      </c>
      <c r="D12" t="s">
        <v>20</v>
      </c>
      <c r="E12">
        <v>2021</v>
      </c>
      <c r="F12">
        <v>42</v>
      </c>
      <c r="G12" s="8" t="s">
        <v>21</v>
      </c>
      <c r="H12" t="s">
        <v>28</v>
      </c>
      <c r="I12" t="s">
        <v>51</v>
      </c>
      <c r="J12" t="s">
        <v>52</v>
      </c>
      <c r="K12" t="s">
        <v>25</v>
      </c>
      <c r="L12" t="s">
        <v>26</v>
      </c>
      <c r="M12" s="5" t="s">
        <v>44</v>
      </c>
      <c r="N12">
        <v>4</v>
      </c>
      <c r="O12" s="2">
        <v>1252</v>
      </c>
      <c r="P12" s="2">
        <v>2295</v>
      </c>
      <c r="Q12" s="2">
        <v>4172</v>
      </c>
      <c r="R12" s="2">
        <f t="shared" si="0"/>
        <v>5008</v>
      </c>
      <c r="S12" s="2">
        <f t="shared" si="1"/>
        <v>9180</v>
      </c>
    </row>
    <row r="13" spans="1:19" x14ac:dyDescent="0.25">
      <c r="A13" s="3" t="s">
        <v>53</v>
      </c>
      <c r="B13" s="1">
        <v>44535</v>
      </c>
      <c r="C13">
        <v>5</v>
      </c>
      <c r="D13" t="s">
        <v>20</v>
      </c>
      <c r="E13">
        <v>2021</v>
      </c>
      <c r="F13">
        <v>35</v>
      </c>
      <c r="G13" s="8" t="s">
        <v>21</v>
      </c>
      <c r="H13" t="s">
        <v>22</v>
      </c>
      <c r="I13" t="s">
        <v>37</v>
      </c>
      <c r="J13" t="s">
        <v>54</v>
      </c>
      <c r="K13" t="s">
        <v>25</v>
      </c>
      <c r="L13" t="s">
        <v>26</v>
      </c>
      <c r="M13" s="5" t="s">
        <v>55</v>
      </c>
      <c r="N13">
        <v>1</v>
      </c>
      <c r="O13" s="2">
        <v>1266</v>
      </c>
      <c r="P13" s="2">
        <v>2320</v>
      </c>
      <c r="Q13" s="2">
        <v>1054</v>
      </c>
      <c r="R13" s="2">
        <f t="shared" si="0"/>
        <v>1266</v>
      </c>
      <c r="S13" s="2">
        <f t="shared" si="1"/>
        <v>2320</v>
      </c>
    </row>
    <row r="14" spans="1:19" x14ac:dyDescent="0.25">
      <c r="A14" s="3" t="s">
        <v>56</v>
      </c>
      <c r="B14" s="1">
        <v>44535</v>
      </c>
      <c r="C14">
        <v>5</v>
      </c>
      <c r="D14" t="s">
        <v>20</v>
      </c>
      <c r="E14">
        <v>2021</v>
      </c>
      <c r="F14">
        <v>37</v>
      </c>
      <c r="G14" s="8" t="s">
        <v>21</v>
      </c>
      <c r="H14" t="s">
        <v>22</v>
      </c>
      <c r="I14" t="s">
        <v>23</v>
      </c>
      <c r="J14" t="s">
        <v>24</v>
      </c>
      <c r="K14" t="s">
        <v>25</v>
      </c>
      <c r="L14" t="s">
        <v>26</v>
      </c>
      <c r="M14" s="5" t="s">
        <v>27</v>
      </c>
      <c r="N14">
        <v>1</v>
      </c>
      <c r="O14" s="2">
        <v>1252</v>
      </c>
      <c r="P14" s="2">
        <v>2295</v>
      </c>
      <c r="Q14" s="2">
        <v>1043</v>
      </c>
      <c r="R14" s="2">
        <f t="shared" si="0"/>
        <v>1252</v>
      </c>
      <c r="S14" s="2">
        <f t="shared" si="1"/>
        <v>2295</v>
      </c>
    </row>
    <row r="15" spans="1:19" x14ac:dyDescent="0.25">
      <c r="A15" s="3" t="s">
        <v>57</v>
      </c>
      <c r="B15" s="1">
        <v>44536</v>
      </c>
      <c r="C15">
        <v>6</v>
      </c>
      <c r="D15" t="s">
        <v>20</v>
      </c>
      <c r="E15">
        <v>2021</v>
      </c>
      <c r="F15">
        <v>23</v>
      </c>
      <c r="G15" s="8" t="s">
        <v>43</v>
      </c>
      <c r="H15" t="s">
        <v>28</v>
      </c>
      <c r="I15" t="s">
        <v>29</v>
      </c>
      <c r="J15" t="s">
        <v>30</v>
      </c>
      <c r="K15" t="s">
        <v>25</v>
      </c>
      <c r="L15" t="s">
        <v>26</v>
      </c>
      <c r="M15" s="5" t="s">
        <v>34</v>
      </c>
      <c r="N15">
        <v>3</v>
      </c>
      <c r="O15" s="2">
        <v>420</v>
      </c>
      <c r="P15" s="2">
        <v>769</v>
      </c>
      <c r="Q15" s="2">
        <v>1047</v>
      </c>
      <c r="R15" s="2">
        <f t="shared" si="0"/>
        <v>1260</v>
      </c>
      <c r="S15" s="2">
        <f t="shared" si="1"/>
        <v>2307</v>
      </c>
    </row>
    <row r="16" spans="1:19" x14ac:dyDescent="0.25">
      <c r="A16" s="3" t="s">
        <v>58</v>
      </c>
      <c r="B16" s="1">
        <v>44536</v>
      </c>
      <c r="C16">
        <v>6</v>
      </c>
      <c r="D16" t="s">
        <v>20</v>
      </c>
      <c r="E16">
        <v>2021</v>
      </c>
      <c r="F16">
        <v>27</v>
      </c>
      <c r="G16" s="8" t="s">
        <v>36</v>
      </c>
      <c r="H16" t="s">
        <v>28</v>
      </c>
      <c r="I16" t="s">
        <v>59</v>
      </c>
      <c r="J16" t="s">
        <v>60</v>
      </c>
      <c r="K16" t="s">
        <v>25</v>
      </c>
      <c r="L16" t="s">
        <v>26</v>
      </c>
      <c r="M16" s="5" t="s">
        <v>27</v>
      </c>
      <c r="N16">
        <v>1</v>
      </c>
      <c r="O16" s="2">
        <v>1252</v>
      </c>
      <c r="P16" s="2">
        <v>2295</v>
      </c>
      <c r="Q16" s="2">
        <v>1043</v>
      </c>
      <c r="R16" s="2">
        <f t="shared" si="0"/>
        <v>1252</v>
      </c>
      <c r="S16" s="2">
        <f t="shared" si="1"/>
        <v>2295</v>
      </c>
    </row>
    <row r="17" spans="1:19" x14ac:dyDescent="0.25">
      <c r="A17" s="3" t="s">
        <v>61</v>
      </c>
      <c r="B17" s="1">
        <v>44536</v>
      </c>
      <c r="C17">
        <v>6</v>
      </c>
      <c r="D17" t="s">
        <v>20</v>
      </c>
      <c r="E17">
        <v>2021</v>
      </c>
      <c r="F17">
        <v>36</v>
      </c>
      <c r="H17" t="s">
        <v>28</v>
      </c>
      <c r="I17" t="s">
        <v>37</v>
      </c>
      <c r="J17" t="s">
        <v>38</v>
      </c>
      <c r="K17" t="s">
        <v>25</v>
      </c>
      <c r="L17" t="s">
        <v>26</v>
      </c>
      <c r="M17" s="5" t="s">
        <v>62</v>
      </c>
      <c r="N17">
        <v>1</v>
      </c>
      <c r="O17" s="2">
        <v>1252</v>
      </c>
      <c r="P17" s="2">
        <v>2295</v>
      </c>
      <c r="Q17" s="2">
        <v>1043</v>
      </c>
      <c r="R17" s="2">
        <f t="shared" si="0"/>
        <v>1252</v>
      </c>
      <c r="S17" s="2">
        <f t="shared" si="1"/>
        <v>2295</v>
      </c>
    </row>
    <row r="18" spans="1:19" x14ac:dyDescent="0.25">
      <c r="A18" s="3" t="s">
        <v>63</v>
      </c>
      <c r="B18" s="1">
        <v>44536</v>
      </c>
      <c r="C18">
        <v>6</v>
      </c>
      <c r="D18" t="s">
        <v>20</v>
      </c>
      <c r="E18">
        <v>2021</v>
      </c>
      <c r="F18">
        <v>47</v>
      </c>
      <c r="G18" s="8" t="s">
        <v>21</v>
      </c>
      <c r="H18" t="s">
        <v>28</v>
      </c>
      <c r="I18" t="s">
        <v>29</v>
      </c>
      <c r="J18" t="s">
        <v>30</v>
      </c>
      <c r="K18" t="s">
        <v>25</v>
      </c>
      <c r="L18" t="s">
        <v>26</v>
      </c>
      <c r="M18" s="5" t="s">
        <v>55</v>
      </c>
      <c r="N18">
        <v>1</v>
      </c>
      <c r="O18" s="2">
        <v>1266</v>
      </c>
      <c r="P18" s="2">
        <v>2320</v>
      </c>
      <c r="Q18" s="2">
        <v>1054</v>
      </c>
      <c r="R18" s="2">
        <f t="shared" si="0"/>
        <v>1266</v>
      </c>
      <c r="S18" s="2">
        <f t="shared" si="1"/>
        <v>2320</v>
      </c>
    </row>
    <row r="19" spans="1:19" x14ac:dyDescent="0.25">
      <c r="A19" s="3" t="s">
        <v>64</v>
      </c>
      <c r="B19" s="1">
        <v>44537</v>
      </c>
      <c r="C19">
        <v>7</v>
      </c>
      <c r="D19" t="s">
        <v>65</v>
      </c>
      <c r="E19">
        <v>2021</v>
      </c>
      <c r="F19">
        <v>30</v>
      </c>
      <c r="G19" s="8" t="s">
        <v>36</v>
      </c>
      <c r="H19" t="s">
        <v>28</v>
      </c>
      <c r="I19" t="s">
        <v>23</v>
      </c>
      <c r="J19" t="s">
        <v>24</v>
      </c>
      <c r="K19" t="s">
        <v>25</v>
      </c>
      <c r="L19" t="s">
        <v>26</v>
      </c>
      <c r="M19" s="5" t="s">
        <v>66</v>
      </c>
      <c r="N19">
        <v>4</v>
      </c>
      <c r="O19" s="2">
        <v>420</v>
      </c>
      <c r="P19" s="2">
        <v>769</v>
      </c>
      <c r="Q19" s="2">
        <v>1396</v>
      </c>
      <c r="R19" s="2">
        <f t="shared" si="0"/>
        <v>1680</v>
      </c>
      <c r="S19" s="2">
        <f t="shared" si="1"/>
        <v>3076</v>
      </c>
    </row>
    <row r="20" spans="1:19" x14ac:dyDescent="0.25">
      <c r="A20" s="3" t="s">
        <v>67</v>
      </c>
      <c r="B20" s="1">
        <v>44537</v>
      </c>
      <c r="C20">
        <v>7</v>
      </c>
      <c r="D20" t="s">
        <v>20</v>
      </c>
      <c r="E20">
        <v>2021</v>
      </c>
      <c r="F20">
        <v>38</v>
      </c>
      <c r="G20" s="8" t="s">
        <v>21</v>
      </c>
      <c r="H20" t="s">
        <v>28</v>
      </c>
      <c r="I20" t="s">
        <v>23</v>
      </c>
      <c r="J20" t="s">
        <v>24</v>
      </c>
      <c r="K20" t="s">
        <v>25</v>
      </c>
      <c r="L20" t="s">
        <v>26</v>
      </c>
      <c r="M20" s="5" t="s">
        <v>31</v>
      </c>
      <c r="N20">
        <v>2</v>
      </c>
      <c r="O20" s="2">
        <v>1266</v>
      </c>
      <c r="P20" s="2">
        <v>2320</v>
      </c>
      <c r="Q20" s="2">
        <v>2108</v>
      </c>
      <c r="R20" s="2">
        <f t="shared" si="0"/>
        <v>2532</v>
      </c>
      <c r="S20" s="2">
        <f t="shared" si="1"/>
        <v>4640</v>
      </c>
    </row>
    <row r="21" spans="1:19" x14ac:dyDescent="0.25">
      <c r="A21" s="3" t="s">
        <v>68</v>
      </c>
      <c r="B21" s="1">
        <v>44538</v>
      </c>
      <c r="C21">
        <v>8</v>
      </c>
      <c r="D21" t="s">
        <v>20</v>
      </c>
      <c r="E21">
        <v>2021</v>
      </c>
      <c r="F21">
        <v>19</v>
      </c>
      <c r="G21" s="8" t="s">
        <v>43</v>
      </c>
      <c r="H21" t="s">
        <v>22</v>
      </c>
      <c r="I21" t="s">
        <v>37</v>
      </c>
      <c r="J21" t="s">
        <v>38</v>
      </c>
      <c r="K21" t="s">
        <v>25</v>
      </c>
      <c r="L21" t="s">
        <v>26</v>
      </c>
      <c r="M21" s="5" t="s">
        <v>69</v>
      </c>
      <c r="N21">
        <v>4</v>
      </c>
      <c r="O21" s="2">
        <v>308</v>
      </c>
      <c r="P21" s="2">
        <v>565</v>
      </c>
      <c r="Q21" s="2">
        <v>1028</v>
      </c>
      <c r="R21" s="2">
        <f t="shared" si="0"/>
        <v>1232</v>
      </c>
      <c r="S21" s="2">
        <f t="shared" si="1"/>
        <v>2260</v>
      </c>
    </row>
    <row r="22" spans="1:19" x14ac:dyDescent="0.25">
      <c r="A22" s="3" t="s">
        <v>70</v>
      </c>
      <c r="B22" s="1">
        <v>44538</v>
      </c>
      <c r="C22">
        <v>8</v>
      </c>
      <c r="D22" t="s">
        <v>20</v>
      </c>
      <c r="E22">
        <v>2021</v>
      </c>
      <c r="F22">
        <v>30</v>
      </c>
      <c r="G22" s="8" t="s">
        <v>36</v>
      </c>
      <c r="H22" t="s">
        <v>22</v>
      </c>
      <c r="I22" t="s">
        <v>59</v>
      </c>
      <c r="J22" t="s">
        <v>60</v>
      </c>
      <c r="K22" t="s">
        <v>25</v>
      </c>
      <c r="L22" t="s">
        <v>26</v>
      </c>
      <c r="M22" s="5" t="s">
        <v>55</v>
      </c>
      <c r="N22">
        <v>4</v>
      </c>
      <c r="O22" s="2">
        <v>1266</v>
      </c>
      <c r="P22" s="2">
        <v>2320</v>
      </c>
      <c r="Q22" s="2">
        <v>4216</v>
      </c>
      <c r="R22" s="2">
        <f t="shared" si="0"/>
        <v>5064</v>
      </c>
      <c r="S22" s="2">
        <f t="shared" si="1"/>
        <v>9280</v>
      </c>
    </row>
    <row r="23" spans="1:19" x14ac:dyDescent="0.25">
      <c r="A23" s="3" t="s">
        <v>71</v>
      </c>
      <c r="B23" s="1">
        <v>44538</v>
      </c>
      <c r="C23">
        <v>8</v>
      </c>
      <c r="D23" t="s">
        <v>20</v>
      </c>
      <c r="E23">
        <v>2021</v>
      </c>
      <c r="F23">
        <v>39</v>
      </c>
      <c r="G23" s="8" t="s">
        <v>21</v>
      </c>
      <c r="H23" t="s">
        <v>22</v>
      </c>
      <c r="I23" t="s">
        <v>23</v>
      </c>
      <c r="J23" t="s">
        <v>72</v>
      </c>
      <c r="K23" t="s">
        <v>25</v>
      </c>
      <c r="L23" t="s">
        <v>26</v>
      </c>
      <c r="M23" s="5"/>
      <c r="N23">
        <v>2</v>
      </c>
      <c r="O23" s="2">
        <v>1252</v>
      </c>
      <c r="P23" s="2">
        <v>2295</v>
      </c>
      <c r="Q23" s="2">
        <v>2086</v>
      </c>
      <c r="R23" s="2">
        <f t="shared" si="0"/>
        <v>2504</v>
      </c>
      <c r="S23" s="2">
        <f t="shared" si="1"/>
        <v>4590</v>
      </c>
    </row>
    <row r="24" spans="1:19" x14ac:dyDescent="0.25">
      <c r="A24" s="3" t="s">
        <v>73</v>
      </c>
      <c r="B24" s="1">
        <v>44538</v>
      </c>
      <c r="C24">
        <v>8</v>
      </c>
      <c r="D24" t="s">
        <v>20</v>
      </c>
      <c r="E24">
        <v>2021</v>
      </c>
      <c r="F24">
        <v>35</v>
      </c>
      <c r="G24" s="8" t="s">
        <v>21</v>
      </c>
      <c r="H24" t="s">
        <v>22</v>
      </c>
      <c r="I24" t="s">
        <v>23</v>
      </c>
      <c r="J24" t="s">
        <v>24</v>
      </c>
      <c r="K24" t="s">
        <v>25</v>
      </c>
      <c r="L24" t="s">
        <v>26</v>
      </c>
      <c r="M24" s="5" t="s">
        <v>74</v>
      </c>
      <c r="O24" s="2">
        <v>295</v>
      </c>
      <c r="P24" s="2">
        <v>540</v>
      </c>
      <c r="Q24" s="2">
        <v>245</v>
      </c>
      <c r="R24" s="2">
        <f t="shared" si="0"/>
        <v>0</v>
      </c>
      <c r="S24" s="2">
        <f t="shared" si="1"/>
        <v>0</v>
      </c>
    </row>
    <row r="25" spans="1:19" x14ac:dyDescent="0.25">
      <c r="A25" s="3" t="s">
        <v>75</v>
      </c>
      <c r="B25" s="1">
        <v>44539</v>
      </c>
      <c r="C25">
        <v>9</v>
      </c>
      <c r="D25" t="s">
        <v>20</v>
      </c>
      <c r="E25">
        <v>2021</v>
      </c>
      <c r="F25">
        <v>33</v>
      </c>
      <c r="G25" s="8" t="s">
        <v>36</v>
      </c>
      <c r="H25" t="s">
        <v>22</v>
      </c>
      <c r="I25" t="s">
        <v>37</v>
      </c>
      <c r="J25" t="s">
        <v>76</v>
      </c>
      <c r="K25" t="s">
        <v>25</v>
      </c>
      <c r="L25" t="s">
        <v>26</v>
      </c>
      <c r="M25" s="5" t="s">
        <v>77</v>
      </c>
      <c r="N25">
        <v>2</v>
      </c>
      <c r="O25" s="2">
        <v>1898</v>
      </c>
      <c r="P25" s="2">
        <v>3375</v>
      </c>
      <c r="Q25" s="2">
        <v>2954</v>
      </c>
      <c r="R25" s="2">
        <f t="shared" si="0"/>
        <v>3796</v>
      </c>
      <c r="S25" s="2">
        <f t="shared" si="1"/>
        <v>6750</v>
      </c>
    </row>
    <row r="26" spans="1:19" x14ac:dyDescent="0.25">
      <c r="A26" s="3" t="s">
        <v>78</v>
      </c>
      <c r="B26" s="1">
        <v>44539</v>
      </c>
      <c r="C26">
        <v>9</v>
      </c>
      <c r="D26" t="s">
        <v>20</v>
      </c>
      <c r="E26">
        <v>2021</v>
      </c>
      <c r="F26">
        <v>41</v>
      </c>
      <c r="G26" s="8" t="s">
        <v>21</v>
      </c>
      <c r="H26" t="s">
        <v>22</v>
      </c>
      <c r="I26" t="s">
        <v>51</v>
      </c>
      <c r="J26" t="s">
        <v>79</v>
      </c>
      <c r="K26" t="s">
        <v>25</v>
      </c>
      <c r="L26" t="s">
        <v>26</v>
      </c>
      <c r="M26" s="5" t="s">
        <v>31</v>
      </c>
      <c r="N26">
        <v>1</v>
      </c>
      <c r="O26" s="2">
        <v>1266</v>
      </c>
      <c r="P26" s="2">
        <v>2320</v>
      </c>
      <c r="Q26" s="2">
        <v>1054</v>
      </c>
      <c r="R26" s="2">
        <f t="shared" si="0"/>
        <v>1266</v>
      </c>
      <c r="S26" s="2">
        <f t="shared" si="1"/>
        <v>2320</v>
      </c>
    </row>
    <row r="27" spans="1:19" x14ac:dyDescent="0.25">
      <c r="A27" s="3" t="s">
        <v>80</v>
      </c>
      <c r="B27" s="1">
        <v>44540</v>
      </c>
      <c r="C27">
        <v>10</v>
      </c>
      <c r="D27" t="s">
        <v>20</v>
      </c>
      <c r="E27">
        <v>2021</v>
      </c>
      <c r="F27">
        <v>34</v>
      </c>
      <c r="G27" s="8" t="s">
        <v>36</v>
      </c>
      <c r="H27" t="s">
        <v>22</v>
      </c>
      <c r="I27" t="s">
        <v>23</v>
      </c>
      <c r="J27" t="s">
        <v>24</v>
      </c>
      <c r="K27" t="s">
        <v>25</v>
      </c>
      <c r="L27" t="s">
        <v>26</v>
      </c>
      <c r="M27" s="5" t="s">
        <v>62</v>
      </c>
      <c r="N27">
        <v>2</v>
      </c>
      <c r="O27" s="2">
        <v>1252</v>
      </c>
      <c r="P27" s="2">
        <v>2295</v>
      </c>
      <c r="Q27" s="2">
        <v>2086</v>
      </c>
      <c r="R27" s="2">
        <f t="shared" si="0"/>
        <v>2504</v>
      </c>
      <c r="S27" s="2">
        <f t="shared" si="1"/>
        <v>4590</v>
      </c>
    </row>
    <row r="28" spans="1:19" x14ac:dyDescent="0.25">
      <c r="A28" s="3" t="s">
        <v>81</v>
      </c>
      <c r="B28" s="1">
        <v>44540</v>
      </c>
      <c r="C28">
        <v>10</v>
      </c>
      <c r="D28" t="s">
        <v>20</v>
      </c>
      <c r="E28">
        <v>2021</v>
      </c>
      <c r="F28">
        <v>40</v>
      </c>
      <c r="G28" s="8" t="s">
        <v>21</v>
      </c>
      <c r="H28" t="s">
        <v>28</v>
      </c>
      <c r="I28" t="s">
        <v>37</v>
      </c>
      <c r="J28" t="s">
        <v>38</v>
      </c>
      <c r="K28" t="s">
        <v>25</v>
      </c>
      <c r="L28" t="s">
        <v>26</v>
      </c>
      <c r="M28" s="5" t="s">
        <v>62</v>
      </c>
      <c r="N28">
        <v>2</v>
      </c>
      <c r="O28" s="2">
        <v>1252</v>
      </c>
      <c r="P28" s="2">
        <v>2295</v>
      </c>
      <c r="Q28" s="2">
        <v>2086</v>
      </c>
      <c r="R28" s="2">
        <f t="shared" si="0"/>
        <v>2504</v>
      </c>
      <c r="S28" s="2">
        <f t="shared" si="1"/>
        <v>4590</v>
      </c>
    </row>
    <row r="29" spans="1:19" x14ac:dyDescent="0.25">
      <c r="A29" s="3" t="s">
        <v>82</v>
      </c>
      <c r="B29" s="1">
        <v>44540</v>
      </c>
      <c r="C29">
        <v>10</v>
      </c>
      <c r="D29" t="s">
        <v>20</v>
      </c>
      <c r="E29">
        <v>2021</v>
      </c>
      <c r="F29">
        <v>26</v>
      </c>
      <c r="G29" s="8" t="s">
        <v>36</v>
      </c>
      <c r="H29" t="s">
        <v>28</v>
      </c>
      <c r="I29" t="s">
        <v>29</v>
      </c>
      <c r="J29" t="s">
        <v>30</v>
      </c>
      <c r="K29" t="s">
        <v>25</v>
      </c>
      <c r="L29" t="s">
        <v>26</v>
      </c>
      <c r="M29" s="5" t="s">
        <v>44</v>
      </c>
      <c r="N29">
        <v>1</v>
      </c>
      <c r="O29" s="2">
        <v>1252</v>
      </c>
      <c r="P29" s="2">
        <v>2295</v>
      </c>
      <c r="Q29" s="2">
        <v>1043</v>
      </c>
      <c r="R29" s="2">
        <f t="shared" si="0"/>
        <v>1252</v>
      </c>
      <c r="S29" s="2">
        <f t="shared" si="1"/>
        <v>2295</v>
      </c>
    </row>
    <row r="30" spans="1:19" x14ac:dyDescent="0.25">
      <c r="A30" s="3" t="s">
        <v>83</v>
      </c>
      <c r="B30" s="1">
        <v>44540</v>
      </c>
      <c r="C30">
        <v>10</v>
      </c>
      <c r="D30" t="s">
        <v>20</v>
      </c>
      <c r="E30">
        <v>2021</v>
      </c>
      <c r="F30">
        <v>34</v>
      </c>
      <c r="G30" s="8" t="s">
        <v>36</v>
      </c>
      <c r="H30" t="s">
        <v>28</v>
      </c>
      <c r="I30" t="s">
        <v>23</v>
      </c>
      <c r="J30" t="s">
        <v>24</v>
      </c>
      <c r="K30" t="s">
        <v>25</v>
      </c>
      <c r="L30" t="s">
        <v>26</v>
      </c>
      <c r="M30" s="5" t="s">
        <v>84</v>
      </c>
      <c r="N30">
        <v>1</v>
      </c>
      <c r="O30" s="2">
        <v>295</v>
      </c>
      <c r="P30" s="2">
        <v>540</v>
      </c>
      <c r="Q30" s="2">
        <v>245</v>
      </c>
      <c r="R30" s="2">
        <f t="shared" si="0"/>
        <v>295</v>
      </c>
      <c r="S30" s="2">
        <f t="shared" si="1"/>
        <v>540</v>
      </c>
    </row>
    <row r="31" spans="1:19" x14ac:dyDescent="0.25">
      <c r="A31" s="3" t="s">
        <v>85</v>
      </c>
      <c r="B31" s="1">
        <v>44540</v>
      </c>
      <c r="C31">
        <v>10</v>
      </c>
      <c r="D31" t="s">
        <v>20</v>
      </c>
      <c r="E31">
        <v>2021</v>
      </c>
      <c r="F31">
        <v>34</v>
      </c>
      <c r="G31" s="8" t="s">
        <v>36</v>
      </c>
      <c r="H31" t="s">
        <v>22</v>
      </c>
      <c r="I31" t="s">
        <v>23</v>
      </c>
      <c r="J31" t="s">
        <v>47</v>
      </c>
      <c r="K31" t="s">
        <v>25</v>
      </c>
      <c r="L31" t="s">
        <v>26</v>
      </c>
      <c r="M31" s="5" t="s">
        <v>86</v>
      </c>
      <c r="N31">
        <v>1</v>
      </c>
      <c r="O31" s="2">
        <v>1912</v>
      </c>
      <c r="P31" s="2">
        <v>3400</v>
      </c>
      <c r="Q31" s="2">
        <v>1488</v>
      </c>
      <c r="R31" s="2">
        <f t="shared" si="0"/>
        <v>1912</v>
      </c>
      <c r="S31" s="2">
        <f t="shared" si="1"/>
        <v>3400</v>
      </c>
    </row>
    <row r="32" spans="1:19" x14ac:dyDescent="0.25">
      <c r="A32" s="3" t="s">
        <v>87</v>
      </c>
      <c r="B32" s="1">
        <v>44540</v>
      </c>
      <c r="C32">
        <v>10</v>
      </c>
      <c r="D32" t="s">
        <v>20</v>
      </c>
      <c r="E32">
        <v>2021</v>
      </c>
      <c r="F32">
        <v>38</v>
      </c>
      <c r="G32" s="8" t="s">
        <v>21</v>
      </c>
      <c r="H32" t="s">
        <v>28</v>
      </c>
      <c r="I32" t="s">
        <v>37</v>
      </c>
      <c r="J32" t="s">
        <v>38</v>
      </c>
      <c r="K32" t="s">
        <v>25</v>
      </c>
      <c r="L32" t="s">
        <v>26</v>
      </c>
      <c r="M32" s="5" t="s">
        <v>44</v>
      </c>
      <c r="N32">
        <v>1</v>
      </c>
      <c r="O32" s="2">
        <v>1252</v>
      </c>
      <c r="P32" s="2">
        <v>2295</v>
      </c>
      <c r="Q32" s="2">
        <v>1043</v>
      </c>
      <c r="R32" s="2">
        <f t="shared" si="0"/>
        <v>1252</v>
      </c>
      <c r="S32" s="2">
        <f t="shared" si="1"/>
        <v>2295</v>
      </c>
    </row>
    <row r="33" spans="1:19" x14ac:dyDescent="0.25">
      <c r="A33" s="3" t="s">
        <v>88</v>
      </c>
      <c r="B33" s="1">
        <v>44541</v>
      </c>
      <c r="C33">
        <v>11</v>
      </c>
      <c r="D33" t="s">
        <v>20</v>
      </c>
      <c r="E33">
        <v>2021</v>
      </c>
      <c r="F33">
        <v>24</v>
      </c>
      <c r="G33" s="8" t="s">
        <v>43</v>
      </c>
      <c r="H33" t="s">
        <v>22</v>
      </c>
      <c r="I33" t="s">
        <v>89</v>
      </c>
      <c r="J33" t="s">
        <v>90</v>
      </c>
      <c r="K33" t="s">
        <v>25</v>
      </c>
      <c r="L33" t="s">
        <v>26</v>
      </c>
      <c r="M33" s="5" t="s">
        <v>44</v>
      </c>
      <c r="N33">
        <v>3</v>
      </c>
      <c r="O33" s="2">
        <v>1252</v>
      </c>
      <c r="P33" s="2">
        <v>2295</v>
      </c>
      <c r="Q33" s="2">
        <v>3129</v>
      </c>
      <c r="R33" s="2">
        <f t="shared" si="0"/>
        <v>3756</v>
      </c>
      <c r="S33" s="2">
        <f t="shared" si="1"/>
        <v>6885</v>
      </c>
    </row>
    <row r="34" spans="1:19" x14ac:dyDescent="0.25">
      <c r="A34" s="3" t="s">
        <v>91</v>
      </c>
      <c r="B34" s="1">
        <v>44541</v>
      </c>
      <c r="C34">
        <v>11</v>
      </c>
      <c r="D34" t="s">
        <v>20</v>
      </c>
      <c r="E34">
        <v>2021</v>
      </c>
      <c r="F34">
        <v>41</v>
      </c>
      <c r="G34" s="8" t="s">
        <v>21</v>
      </c>
      <c r="H34" t="s">
        <v>22</v>
      </c>
      <c r="I34" t="s">
        <v>37</v>
      </c>
      <c r="J34" t="s">
        <v>38</v>
      </c>
      <c r="K34" t="s">
        <v>25</v>
      </c>
      <c r="L34" t="s">
        <v>26</v>
      </c>
      <c r="M34" s="5" t="s">
        <v>66</v>
      </c>
      <c r="N34">
        <v>2</v>
      </c>
      <c r="O34" s="2">
        <v>420</v>
      </c>
      <c r="P34" s="2">
        <v>769</v>
      </c>
      <c r="Q34" s="2">
        <v>698</v>
      </c>
      <c r="R34" s="2">
        <f t="shared" si="0"/>
        <v>840</v>
      </c>
      <c r="S34" s="2">
        <f t="shared" si="1"/>
        <v>1538</v>
      </c>
    </row>
    <row r="35" spans="1:19" x14ac:dyDescent="0.25">
      <c r="A35" s="3" t="s">
        <v>92</v>
      </c>
      <c r="B35" s="1">
        <v>44541</v>
      </c>
      <c r="C35">
        <v>11</v>
      </c>
      <c r="D35" t="s">
        <v>20</v>
      </c>
      <c r="E35">
        <v>2021</v>
      </c>
      <c r="F35">
        <v>27</v>
      </c>
      <c r="G35" s="8" t="s">
        <v>36</v>
      </c>
      <c r="H35" t="s">
        <v>28</v>
      </c>
      <c r="I35" t="s">
        <v>59</v>
      </c>
      <c r="J35" t="s">
        <v>60</v>
      </c>
      <c r="K35" t="s">
        <v>25</v>
      </c>
      <c r="L35" t="s">
        <v>26</v>
      </c>
      <c r="M35" s="5" t="s">
        <v>27</v>
      </c>
      <c r="N35">
        <v>1</v>
      </c>
      <c r="O35" s="2">
        <v>1252</v>
      </c>
      <c r="P35" s="2">
        <v>2295</v>
      </c>
      <c r="Q35" s="2">
        <v>1043</v>
      </c>
      <c r="R35" s="2">
        <f t="shared" si="0"/>
        <v>1252</v>
      </c>
      <c r="S35" s="2">
        <f t="shared" si="1"/>
        <v>2295</v>
      </c>
    </row>
    <row r="36" spans="1:19" x14ac:dyDescent="0.25">
      <c r="A36" s="3" t="s">
        <v>93</v>
      </c>
      <c r="B36" s="1">
        <v>44541</v>
      </c>
      <c r="C36">
        <v>11</v>
      </c>
      <c r="D36" t="s">
        <v>20</v>
      </c>
      <c r="E36">
        <v>2021</v>
      </c>
      <c r="F36">
        <v>37</v>
      </c>
      <c r="G36" s="8" t="s">
        <v>21</v>
      </c>
      <c r="H36" t="s">
        <v>28</v>
      </c>
      <c r="I36" t="s">
        <v>23</v>
      </c>
      <c r="J36" t="s">
        <v>24</v>
      </c>
      <c r="K36" t="s">
        <v>25</v>
      </c>
      <c r="L36" t="s">
        <v>26</v>
      </c>
      <c r="M36" s="5" t="s">
        <v>34</v>
      </c>
      <c r="N36">
        <v>1</v>
      </c>
      <c r="O36" s="2">
        <v>420</v>
      </c>
      <c r="P36" s="2">
        <v>769</v>
      </c>
      <c r="Q36" s="2">
        <v>349</v>
      </c>
      <c r="R36" s="2">
        <f t="shared" si="0"/>
        <v>420</v>
      </c>
      <c r="S36" s="2">
        <f t="shared" si="1"/>
        <v>769</v>
      </c>
    </row>
    <row r="37" spans="1:19" x14ac:dyDescent="0.25">
      <c r="A37" s="3" t="s">
        <v>94</v>
      </c>
      <c r="B37" s="1">
        <v>44541</v>
      </c>
      <c r="C37">
        <v>11</v>
      </c>
      <c r="D37" t="s">
        <v>20</v>
      </c>
      <c r="E37">
        <v>2021</v>
      </c>
      <c r="F37">
        <v>38</v>
      </c>
      <c r="G37" s="8" t="s">
        <v>21</v>
      </c>
      <c r="H37" t="s">
        <v>22</v>
      </c>
      <c r="I37" t="s">
        <v>23</v>
      </c>
      <c r="J37" t="s">
        <v>24</v>
      </c>
      <c r="K37" t="s">
        <v>25</v>
      </c>
      <c r="L37" t="s">
        <v>26</v>
      </c>
      <c r="M37" s="5" t="s">
        <v>55</v>
      </c>
      <c r="N37">
        <v>1</v>
      </c>
      <c r="O37" s="2">
        <v>1266</v>
      </c>
      <c r="P37" s="2">
        <v>2320</v>
      </c>
      <c r="Q37" s="2">
        <v>1054</v>
      </c>
      <c r="R37" s="2">
        <f t="shared" si="0"/>
        <v>1266</v>
      </c>
      <c r="S37" s="2">
        <f t="shared" si="1"/>
        <v>2320</v>
      </c>
    </row>
    <row r="38" spans="1:19" x14ac:dyDescent="0.25">
      <c r="A38" s="3" t="s">
        <v>95</v>
      </c>
      <c r="B38" s="1">
        <v>44542</v>
      </c>
      <c r="C38">
        <v>12</v>
      </c>
      <c r="D38" t="s">
        <v>20</v>
      </c>
      <c r="E38">
        <v>2021</v>
      </c>
      <c r="F38">
        <v>36</v>
      </c>
      <c r="G38" s="8" t="s">
        <v>21</v>
      </c>
      <c r="H38" t="s">
        <v>22</v>
      </c>
      <c r="I38" t="s">
        <v>37</v>
      </c>
      <c r="J38" t="s">
        <v>38</v>
      </c>
      <c r="K38" t="s">
        <v>25</v>
      </c>
      <c r="L38" t="s">
        <v>26</v>
      </c>
      <c r="M38" s="5" t="s">
        <v>31</v>
      </c>
      <c r="N38">
        <v>4</v>
      </c>
      <c r="O38" s="2">
        <v>1266</v>
      </c>
      <c r="P38" s="2">
        <v>2320</v>
      </c>
      <c r="Q38" s="2">
        <v>4216</v>
      </c>
      <c r="R38" s="2">
        <f t="shared" si="0"/>
        <v>5064</v>
      </c>
      <c r="S38" s="2">
        <f t="shared" si="1"/>
        <v>9280</v>
      </c>
    </row>
    <row r="39" spans="1:19" x14ac:dyDescent="0.25">
      <c r="A39" s="3" t="s">
        <v>96</v>
      </c>
      <c r="B39" s="1">
        <v>44542</v>
      </c>
      <c r="C39">
        <v>12</v>
      </c>
      <c r="D39" t="s">
        <v>20</v>
      </c>
      <c r="E39">
        <v>2021</v>
      </c>
      <c r="F39">
        <v>37</v>
      </c>
      <c r="G39" s="8" t="s">
        <v>21</v>
      </c>
      <c r="H39" t="s">
        <v>28</v>
      </c>
      <c r="I39" t="s">
        <v>23</v>
      </c>
      <c r="J39" t="s">
        <v>24</v>
      </c>
      <c r="K39" t="s">
        <v>25</v>
      </c>
      <c r="L39" t="s">
        <v>26</v>
      </c>
      <c r="M39" s="5" t="s">
        <v>34</v>
      </c>
      <c r="N39">
        <v>4</v>
      </c>
      <c r="O39" s="2">
        <v>420</v>
      </c>
      <c r="P39" s="2">
        <v>769</v>
      </c>
      <c r="Q39" s="2">
        <v>1396</v>
      </c>
      <c r="R39" s="2">
        <f t="shared" si="0"/>
        <v>1680</v>
      </c>
      <c r="S39" s="2">
        <f t="shared" si="1"/>
        <v>3076</v>
      </c>
    </row>
    <row r="40" spans="1:19" x14ac:dyDescent="0.25">
      <c r="A40" s="3" t="s">
        <v>97</v>
      </c>
      <c r="B40" s="1">
        <v>44542</v>
      </c>
      <c r="C40">
        <v>12</v>
      </c>
      <c r="D40" t="s">
        <v>20</v>
      </c>
      <c r="E40">
        <v>2021</v>
      </c>
      <c r="F40">
        <v>34</v>
      </c>
      <c r="G40" s="8" t="s">
        <v>36</v>
      </c>
      <c r="H40" t="s">
        <v>28</v>
      </c>
      <c r="I40" t="s">
        <v>37</v>
      </c>
      <c r="J40" t="s">
        <v>38</v>
      </c>
      <c r="K40" t="s">
        <v>25</v>
      </c>
      <c r="L40" t="s">
        <v>26</v>
      </c>
      <c r="M40" s="5" t="s">
        <v>44</v>
      </c>
      <c r="N40">
        <v>2</v>
      </c>
      <c r="O40" s="2">
        <v>1252</v>
      </c>
      <c r="P40" s="2">
        <v>2295</v>
      </c>
      <c r="Q40" s="2">
        <v>2086</v>
      </c>
      <c r="R40" s="2">
        <f t="shared" si="0"/>
        <v>2504</v>
      </c>
      <c r="S40" s="2">
        <f t="shared" si="1"/>
        <v>4590</v>
      </c>
    </row>
    <row r="41" spans="1:19" x14ac:dyDescent="0.25">
      <c r="A41" s="3" t="s">
        <v>98</v>
      </c>
      <c r="B41" s="1">
        <v>44542</v>
      </c>
      <c r="C41">
        <v>12</v>
      </c>
      <c r="D41" t="s">
        <v>20</v>
      </c>
      <c r="E41">
        <v>2021</v>
      </c>
      <c r="F41">
        <v>35</v>
      </c>
      <c r="G41" s="8" t="s">
        <v>21</v>
      </c>
      <c r="H41" t="s">
        <v>22</v>
      </c>
      <c r="I41" t="s">
        <v>37</v>
      </c>
      <c r="J41" t="s">
        <v>76</v>
      </c>
      <c r="K41" t="s">
        <v>25</v>
      </c>
      <c r="L41" t="s">
        <v>26</v>
      </c>
      <c r="M41" s="5" t="s">
        <v>31</v>
      </c>
      <c r="N41">
        <v>1</v>
      </c>
      <c r="O41" s="2">
        <v>1266</v>
      </c>
      <c r="P41" s="2">
        <v>2320</v>
      </c>
      <c r="Q41" s="2">
        <v>1054</v>
      </c>
      <c r="R41" s="2">
        <f t="shared" si="0"/>
        <v>1266</v>
      </c>
      <c r="S41" s="2">
        <f t="shared" si="1"/>
        <v>2320</v>
      </c>
    </row>
    <row r="42" spans="1:19" x14ac:dyDescent="0.25">
      <c r="A42" s="3" t="s">
        <v>99</v>
      </c>
      <c r="B42" s="1">
        <v>44542</v>
      </c>
      <c r="C42">
        <v>12</v>
      </c>
      <c r="D42" t="s">
        <v>20</v>
      </c>
      <c r="E42">
        <v>2021</v>
      </c>
      <c r="F42">
        <v>38</v>
      </c>
      <c r="G42" s="8" t="s">
        <v>21</v>
      </c>
      <c r="H42" t="s">
        <v>22</v>
      </c>
      <c r="I42" t="s">
        <v>23</v>
      </c>
      <c r="J42" t="s">
        <v>47</v>
      </c>
      <c r="K42" t="s">
        <v>25</v>
      </c>
      <c r="L42" t="s">
        <v>26</v>
      </c>
      <c r="M42" s="5" t="s">
        <v>31</v>
      </c>
      <c r="N42">
        <v>1</v>
      </c>
      <c r="O42" s="2">
        <v>1266</v>
      </c>
      <c r="P42" s="2">
        <v>2320</v>
      </c>
      <c r="Q42" s="2">
        <v>1054</v>
      </c>
      <c r="R42" s="2">
        <f t="shared" si="0"/>
        <v>1266</v>
      </c>
      <c r="S42" s="2">
        <f t="shared" si="1"/>
        <v>2320</v>
      </c>
    </row>
    <row r="43" spans="1:19" x14ac:dyDescent="0.25">
      <c r="A43" s="3" t="s">
        <v>100</v>
      </c>
      <c r="B43" s="1">
        <v>44543</v>
      </c>
      <c r="C43">
        <v>13</v>
      </c>
      <c r="D43" t="s">
        <v>20</v>
      </c>
      <c r="E43">
        <v>2021</v>
      </c>
      <c r="F43">
        <v>32</v>
      </c>
      <c r="G43" s="8" t="s">
        <v>36</v>
      </c>
      <c r="H43" t="s">
        <v>22</v>
      </c>
      <c r="I43" t="s">
        <v>37</v>
      </c>
      <c r="J43" t="s">
        <v>54</v>
      </c>
      <c r="K43" t="s">
        <v>25</v>
      </c>
      <c r="L43" t="s">
        <v>26</v>
      </c>
      <c r="M43" s="5" t="s">
        <v>31</v>
      </c>
      <c r="N43">
        <v>3</v>
      </c>
      <c r="O43" s="2">
        <v>1266</v>
      </c>
      <c r="P43" s="2">
        <v>2320</v>
      </c>
      <c r="Q43" s="2">
        <v>3162</v>
      </c>
      <c r="R43" s="2">
        <f t="shared" si="0"/>
        <v>3798</v>
      </c>
      <c r="S43" s="2">
        <f t="shared" si="1"/>
        <v>6960</v>
      </c>
    </row>
    <row r="44" spans="1:19" x14ac:dyDescent="0.25">
      <c r="A44" s="3" t="s">
        <v>101</v>
      </c>
      <c r="B44" s="1">
        <v>44543</v>
      </c>
      <c r="C44">
        <v>13</v>
      </c>
      <c r="D44" t="s">
        <v>20</v>
      </c>
      <c r="E44">
        <v>2021</v>
      </c>
      <c r="F44">
        <v>40</v>
      </c>
      <c r="G44" s="8" t="s">
        <v>21</v>
      </c>
      <c r="H44" t="s">
        <v>22</v>
      </c>
      <c r="I44" t="s">
        <v>23</v>
      </c>
      <c r="J44" t="s">
        <v>24</v>
      </c>
      <c r="K44" t="s">
        <v>25</v>
      </c>
      <c r="L44" t="s">
        <v>26</v>
      </c>
      <c r="M44" s="5" t="s">
        <v>102</v>
      </c>
      <c r="N44">
        <v>1</v>
      </c>
      <c r="O44" s="2">
        <v>308</v>
      </c>
      <c r="P44" s="2">
        <v>565</v>
      </c>
      <c r="Q44" s="2">
        <v>257</v>
      </c>
      <c r="R44" s="2">
        <f t="shared" si="0"/>
        <v>308</v>
      </c>
      <c r="S44" s="2">
        <f t="shared" si="1"/>
        <v>565</v>
      </c>
    </row>
    <row r="45" spans="1:19" x14ac:dyDescent="0.25">
      <c r="A45" s="3" t="s">
        <v>103</v>
      </c>
      <c r="B45" s="1">
        <v>44543</v>
      </c>
      <c r="C45">
        <v>13</v>
      </c>
      <c r="D45" t="s">
        <v>20</v>
      </c>
      <c r="E45">
        <v>2021</v>
      </c>
      <c r="F45">
        <v>44</v>
      </c>
      <c r="G45" s="8" t="s">
        <v>21</v>
      </c>
      <c r="H45" t="s">
        <v>22</v>
      </c>
      <c r="I45" t="s">
        <v>29</v>
      </c>
      <c r="J45" t="s">
        <v>30</v>
      </c>
      <c r="K45" t="s">
        <v>25</v>
      </c>
      <c r="L45" t="s">
        <v>26</v>
      </c>
      <c r="M45" s="5" t="s">
        <v>44</v>
      </c>
      <c r="N45">
        <v>1</v>
      </c>
      <c r="O45" s="2">
        <v>1252</v>
      </c>
      <c r="P45" s="2">
        <v>2295</v>
      </c>
      <c r="Q45" s="2">
        <v>1043</v>
      </c>
      <c r="R45" s="2">
        <f t="shared" si="0"/>
        <v>1252</v>
      </c>
      <c r="S45" s="2">
        <f t="shared" si="1"/>
        <v>2295</v>
      </c>
    </row>
    <row r="46" spans="1:19" x14ac:dyDescent="0.25">
      <c r="A46" s="3" t="s">
        <v>104</v>
      </c>
      <c r="B46" s="1">
        <v>44543</v>
      </c>
      <c r="C46">
        <v>13</v>
      </c>
      <c r="D46" t="s">
        <v>20</v>
      </c>
      <c r="E46">
        <v>2021</v>
      </c>
      <c r="F46">
        <v>49</v>
      </c>
      <c r="G46" s="8" t="s">
        <v>21</v>
      </c>
      <c r="H46" t="s">
        <v>28</v>
      </c>
      <c r="I46" t="s">
        <v>29</v>
      </c>
      <c r="J46" t="s">
        <v>30</v>
      </c>
      <c r="K46" t="s">
        <v>25</v>
      </c>
      <c r="L46" t="s">
        <v>26</v>
      </c>
      <c r="M46" s="5" t="s">
        <v>44</v>
      </c>
      <c r="N46">
        <v>1</v>
      </c>
      <c r="O46" s="2">
        <v>1252</v>
      </c>
      <c r="P46" s="2">
        <v>2295</v>
      </c>
      <c r="Q46" s="2">
        <v>1043</v>
      </c>
      <c r="R46" s="2">
        <f t="shared" si="0"/>
        <v>1252</v>
      </c>
      <c r="S46" s="2">
        <f t="shared" si="1"/>
        <v>2295</v>
      </c>
    </row>
    <row r="47" spans="1:19" x14ac:dyDescent="0.25">
      <c r="A47" s="3" t="s">
        <v>105</v>
      </c>
      <c r="B47" s="1">
        <v>44544</v>
      </c>
      <c r="C47">
        <v>14</v>
      </c>
      <c r="D47" t="s">
        <v>20</v>
      </c>
      <c r="E47">
        <v>2021</v>
      </c>
      <c r="F47">
        <v>30</v>
      </c>
      <c r="G47" s="8" t="s">
        <v>36</v>
      </c>
      <c r="H47" t="s">
        <v>22</v>
      </c>
      <c r="I47" t="s">
        <v>23</v>
      </c>
      <c r="J47" t="s">
        <v>47</v>
      </c>
      <c r="K47" t="s">
        <v>25</v>
      </c>
      <c r="L47" t="s">
        <v>26</v>
      </c>
      <c r="M47" s="5" t="s">
        <v>55</v>
      </c>
      <c r="N47">
        <v>2</v>
      </c>
      <c r="O47" s="2">
        <v>1266</v>
      </c>
      <c r="P47" s="2">
        <v>2320</v>
      </c>
      <c r="Q47" s="2">
        <v>2108</v>
      </c>
      <c r="R47" s="2">
        <f t="shared" si="0"/>
        <v>2532</v>
      </c>
      <c r="S47" s="2">
        <f t="shared" si="1"/>
        <v>4640</v>
      </c>
    </row>
    <row r="48" spans="1:19" x14ac:dyDescent="0.25">
      <c r="A48" s="3" t="s">
        <v>106</v>
      </c>
      <c r="B48" s="1">
        <v>44544</v>
      </c>
      <c r="C48">
        <v>14</v>
      </c>
      <c r="D48" t="s">
        <v>20</v>
      </c>
      <c r="E48">
        <v>2021</v>
      </c>
      <c r="F48">
        <v>32</v>
      </c>
      <c r="G48" s="8" t="s">
        <v>36</v>
      </c>
      <c r="H48" t="s">
        <v>28</v>
      </c>
      <c r="I48" t="s">
        <v>23</v>
      </c>
      <c r="J48" t="s">
        <v>24</v>
      </c>
      <c r="K48" t="s">
        <v>25</v>
      </c>
      <c r="L48" t="s">
        <v>26</v>
      </c>
      <c r="M48" s="5" t="s">
        <v>27</v>
      </c>
      <c r="N48">
        <v>1</v>
      </c>
      <c r="O48" s="2">
        <v>1252</v>
      </c>
      <c r="P48" s="2">
        <v>2295</v>
      </c>
      <c r="Q48" s="2">
        <v>1043</v>
      </c>
      <c r="R48" s="2">
        <f t="shared" si="0"/>
        <v>1252</v>
      </c>
      <c r="S48" s="2">
        <f t="shared" si="1"/>
        <v>2295</v>
      </c>
    </row>
    <row r="49" spans="1:19" x14ac:dyDescent="0.25">
      <c r="A49" s="3" t="s">
        <v>107</v>
      </c>
      <c r="B49" s="1">
        <v>44544</v>
      </c>
      <c r="C49">
        <v>14</v>
      </c>
      <c r="D49" t="s">
        <v>20</v>
      </c>
      <c r="E49">
        <v>2021</v>
      </c>
      <c r="F49">
        <v>32</v>
      </c>
      <c r="G49" s="8" t="s">
        <v>36</v>
      </c>
      <c r="H49" t="s">
        <v>22</v>
      </c>
      <c r="I49" t="s">
        <v>37</v>
      </c>
      <c r="J49" t="s">
        <v>76</v>
      </c>
      <c r="K49" t="s">
        <v>25</v>
      </c>
      <c r="L49" t="s">
        <v>26</v>
      </c>
      <c r="M49" s="5" t="s">
        <v>34</v>
      </c>
      <c r="N49">
        <v>1</v>
      </c>
      <c r="O49" s="2">
        <v>420</v>
      </c>
      <c r="P49" s="2">
        <v>769</v>
      </c>
      <c r="Q49" s="2">
        <v>349</v>
      </c>
      <c r="R49" s="2">
        <f t="shared" si="0"/>
        <v>420</v>
      </c>
      <c r="S49" s="2">
        <f t="shared" si="1"/>
        <v>769</v>
      </c>
    </row>
    <row r="50" spans="1:19" x14ac:dyDescent="0.25">
      <c r="A50" s="3" t="s">
        <v>108</v>
      </c>
      <c r="B50" s="1">
        <v>44545</v>
      </c>
      <c r="C50">
        <v>15</v>
      </c>
      <c r="D50" t="s">
        <v>20</v>
      </c>
      <c r="E50">
        <v>2021</v>
      </c>
      <c r="F50">
        <v>29</v>
      </c>
      <c r="G50" s="8" t="s">
        <v>36</v>
      </c>
      <c r="H50" t="s">
        <v>22</v>
      </c>
      <c r="I50" t="s">
        <v>23</v>
      </c>
      <c r="J50" t="s">
        <v>24</v>
      </c>
      <c r="K50" t="s">
        <v>25</v>
      </c>
      <c r="L50" t="s">
        <v>26</v>
      </c>
      <c r="M50" s="5" t="s">
        <v>31</v>
      </c>
      <c r="N50">
        <v>1</v>
      </c>
      <c r="O50" s="2">
        <v>1266</v>
      </c>
      <c r="P50" s="2">
        <v>2320</v>
      </c>
      <c r="Q50" s="2">
        <v>1054</v>
      </c>
      <c r="R50" s="2">
        <f t="shared" si="0"/>
        <v>1266</v>
      </c>
      <c r="S50" s="2">
        <f t="shared" si="1"/>
        <v>2320</v>
      </c>
    </row>
    <row r="51" spans="1:19" x14ac:dyDescent="0.25">
      <c r="A51" s="3" t="s">
        <v>109</v>
      </c>
      <c r="B51" s="1">
        <v>44546</v>
      </c>
      <c r="C51">
        <v>16</v>
      </c>
      <c r="D51" t="s">
        <v>20</v>
      </c>
      <c r="E51">
        <v>2021</v>
      </c>
      <c r="F51">
        <v>33</v>
      </c>
      <c r="G51" s="8" t="s">
        <v>36</v>
      </c>
      <c r="H51" t="s">
        <v>22</v>
      </c>
      <c r="I51" t="s">
        <v>37</v>
      </c>
      <c r="J51" t="s">
        <v>38</v>
      </c>
      <c r="K51" t="s">
        <v>25</v>
      </c>
      <c r="L51" t="s">
        <v>26</v>
      </c>
      <c r="M51" s="5" t="s">
        <v>44</v>
      </c>
      <c r="N51">
        <v>2</v>
      </c>
      <c r="O51" s="2">
        <v>1252</v>
      </c>
      <c r="P51" s="2">
        <v>2295</v>
      </c>
      <c r="Q51" s="2">
        <v>2086</v>
      </c>
      <c r="R51" s="2">
        <f t="shared" si="0"/>
        <v>2504</v>
      </c>
      <c r="S51" s="2">
        <f t="shared" si="1"/>
        <v>4590</v>
      </c>
    </row>
    <row r="52" spans="1:19" x14ac:dyDescent="0.25">
      <c r="A52" s="3" t="s">
        <v>110</v>
      </c>
      <c r="B52" s="1">
        <v>44546</v>
      </c>
      <c r="C52">
        <v>16</v>
      </c>
      <c r="D52" t="s">
        <v>20</v>
      </c>
      <c r="E52">
        <v>2021</v>
      </c>
      <c r="F52">
        <v>38</v>
      </c>
      <c r="G52" s="8" t="s">
        <v>21</v>
      </c>
      <c r="H52" t="s">
        <v>28</v>
      </c>
      <c r="I52" t="s">
        <v>37</v>
      </c>
      <c r="J52" t="s">
        <v>38</v>
      </c>
      <c r="K52" t="s">
        <v>25</v>
      </c>
      <c r="L52" t="s">
        <v>26</v>
      </c>
      <c r="M52" s="5" t="s">
        <v>44</v>
      </c>
      <c r="N52">
        <v>2</v>
      </c>
      <c r="O52" s="2">
        <v>1252</v>
      </c>
      <c r="P52" s="2">
        <v>2295</v>
      </c>
      <c r="Q52" s="2">
        <v>2086</v>
      </c>
      <c r="R52" s="2">
        <f t="shared" si="0"/>
        <v>2504</v>
      </c>
      <c r="S52" s="2">
        <f t="shared" si="1"/>
        <v>4590</v>
      </c>
    </row>
    <row r="53" spans="1:19" x14ac:dyDescent="0.25">
      <c r="A53" s="3" t="s">
        <v>111</v>
      </c>
      <c r="B53" s="1">
        <v>44546</v>
      </c>
      <c r="C53">
        <v>16</v>
      </c>
      <c r="D53" t="s">
        <v>20</v>
      </c>
      <c r="E53">
        <v>2021</v>
      </c>
      <c r="F53">
        <v>27</v>
      </c>
      <c r="G53" s="8" t="s">
        <v>36</v>
      </c>
      <c r="H53" t="s">
        <v>22</v>
      </c>
      <c r="I53" t="s">
        <v>89</v>
      </c>
      <c r="J53" t="s">
        <v>112</v>
      </c>
      <c r="K53" t="s">
        <v>25</v>
      </c>
      <c r="L53" t="s">
        <v>26</v>
      </c>
      <c r="M53" s="5" t="s">
        <v>113</v>
      </c>
      <c r="N53">
        <v>1</v>
      </c>
      <c r="O53" s="2">
        <v>1266</v>
      </c>
      <c r="P53" s="2">
        <v>2320</v>
      </c>
      <c r="Q53" s="2">
        <v>1054</v>
      </c>
      <c r="R53" s="2">
        <f t="shared" si="0"/>
        <v>1266</v>
      </c>
      <c r="S53" s="2">
        <f t="shared" si="1"/>
        <v>2320</v>
      </c>
    </row>
    <row r="54" spans="1:19" x14ac:dyDescent="0.25">
      <c r="A54" s="3" t="s">
        <v>114</v>
      </c>
      <c r="B54" s="1">
        <v>44547</v>
      </c>
      <c r="C54">
        <v>17</v>
      </c>
      <c r="D54" t="s">
        <v>20</v>
      </c>
      <c r="E54">
        <v>2021</v>
      </c>
      <c r="F54">
        <v>37</v>
      </c>
      <c r="G54" s="8" t="s">
        <v>21</v>
      </c>
      <c r="H54" t="s">
        <v>22</v>
      </c>
      <c r="I54" t="s">
        <v>23</v>
      </c>
      <c r="J54" t="s">
        <v>47</v>
      </c>
      <c r="K54" t="s">
        <v>25</v>
      </c>
      <c r="L54" t="s">
        <v>26</v>
      </c>
      <c r="M54" s="5" t="s">
        <v>55</v>
      </c>
      <c r="N54">
        <v>2</v>
      </c>
      <c r="O54" s="2">
        <v>1266</v>
      </c>
      <c r="P54" s="2">
        <v>2320</v>
      </c>
      <c r="Q54" s="2">
        <v>2108</v>
      </c>
      <c r="R54" s="2">
        <f t="shared" si="0"/>
        <v>2532</v>
      </c>
      <c r="S54" s="2">
        <f t="shared" si="1"/>
        <v>4640</v>
      </c>
    </row>
    <row r="55" spans="1:19" x14ac:dyDescent="0.25">
      <c r="A55" s="3" t="s">
        <v>115</v>
      </c>
      <c r="B55" s="1">
        <v>44547</v>
      </c>
      <c r="C55">
        <v>17</v>
      </c>
      <c r="D55" t="s">
        <v>20</v>
      </c>
      <c r="E55">
        <v>2021</v>
      </c>
      <c r="F55">
        <v>31</v>
      </c>
      <c r="G55" s="8" t="s">
        <v>36</v>
      </c>
      <c r="H55" t="s">
        <v>28</v>
      </c>
      <c r="I55" t="s">
        <v>37</v>
      </c>
      <c r="J55" t="s">
        <v>38</v>
      </c>
      <c r="K55" t="s">
        <v>25</v>
      </c>
      <c r="L55" t="s">
        <v>26</v>
      </c>
      <c r="M55" s="5" t="s">
        <v>39</v>
      </c>
      <c r="N55">
        <v>1</v>
      </c>
      <c r="O55" s="2">
        <v>420</v>
      </c>
      <c r="P55" s="2">
        <v>769</v>
      </c>
      <c r="Q55" s="2">
        <v>349</v>
      </c>
      <c r="R55" s="2">
        <f t="shared" si="0"/>
        <v>420</v>
      </c>
      <c r="S55" s="2">
        <f t="shared" si="1"/>
        <v>769</v>
      </c>
    </row>
    <row r="56" spans="1:19" x14ac:dyDescent="0.25">
      <c r="A56" s="3" t="s">
        <v>116</v>
      </c>
      <c r="B56" s="1">
        <v>44547</v>
      </c>
      <c r="C56">
        <v>17</v>
      </c>
      <c r="D56" t="s">
        <v>20</v>
      </c>
      <c r="E56">
        <v>2021</v>
      </c>
      <c r="F56">
        <v>42</v>
      </c>
      <c r="G56" s="8" t="s">
        <v>21</v>
      </c>
      <c r="H56" t="s">
        <v>22</v>
      </c>
      <c r="I56" t="s">
        <v>51</v>
      </c>
      <c r="J56" t="s">
        <v>52</v>
      </c>
      <c r="K56" t="s">
        <v>25</v>
      </c>
      <c r="L56" t="s">
        <v>26</v>
      </c>
      <c r="M56" s="5" t="s">
        <v>113</v>
      </c>
      <c r="N56">
        <v>1</v>
      </c>
      <c r="O56" s="2">
        <v>1266</v>
      </c>
      <c r="P56" s="2">
        <v>2320</v>
      </c>
      <c r="Q56" s="2">
        <v>1054</v>
      </c>
      <c r="R56" s="2">
        <f t="shared" si="0"/>
        <v>1266</v>
      </c>
      <c r="S56" s="2">
        <f t="shared" si="1"/>
        <v>2320</v>
      </c>
    </row>
    <row r="57" spans="1:19" x14ac:dyDescent="0.25">
      <c r="A57" s="3" t="s">
        <v>117</v>
      </c>
      <c r="B57" s="1">
        <v>44548</v>
      </c>
      <c r="C57">
        <v>18</v>
      </c>
      <c r="D57" t="s">
        <v>20</v>
      </c>
      <c r="E57">
        <v>2021</v>
      </c>
      <c r="F57">
        <v>35</v>
      </c>
      <c r="G57" s="8" t="s">
        <v>21</v>
      </c>
      <c r="H57" t="s">
        <v>22</v>
      </c>
      <c r="I57" t="s">
        <v>37</v>
      </c>
      <c r="J57" t="s">
        <v>38</v>
      </c>
      <c r="K57" t="s">
        <v>25</v>
      </c>
      <c r="L57" t="s">
        <v>26</v>
      </c>
      <c r="M57" s="5" t="s">
        <v>69</v>
      </c>
      <c r="N57">
        <v>4</v>
      </c>
      <c r="O57" s="2">
        <v>308</v>
      </c>
      <c r="P57" s="2">
        <v>565</v>
      </c>
      <c r="Q57" s="2">
        <v>1028</v>
      </c>
      <c r="R57" s="2">
        <f t="shared" si="0"/>
        <v>1232</v>
      </c>
      <c r="S57" s="2">
        <f t="shared" si="1"/>
        <v>2260</v>
      </c>
    </row>
    <row r="58" spans="1:19" x14ac:dyDescent="0.25">
      <c r="A58" s="3" t="s">
        <v>118</v>
      </c>
      <c r="B58" s="1">
        <v>44548</v>
      </c>
      <c r="C58">
        <v>18</v>
      </c>
      <c r="D58" t="s">
        <v>20</v>
      </c>
      <c r="E58">
        <v>2021</v>
      </c>
      <c r="F58">
        <v>38</v>
      </c>
      <c r="G58" s="8" t="s">
        <v>21</v>
      </c>
      <c r="H58" t="s">
        <v>22</v>
      </c>
      <c r="I58" t="s">
        <v>51</v>
      </c>
      <c r="J58" t="s">
        <v>52</v>
      </c>
      <c r="K58" t="s">
        <v>25</v>
      </c>
      <c r="L58" t="s">
        <v>26</v>
      </c>
      <c r="M58" s="5" t="s">
        <v>113</v>
      </c>
      <c r="N58">
        <v>4</v>
      </c>
      <c r="O58" s="2">
        <v>1266</v>
      </c>
      <c r="P58" s="2">
        <v>2320</v>
      </c>
      <c r="Q58" s="2">
        <v>4216</v>
      </c>
      <c r="R58" s="2">
        <f t="shared" si="0"/>
        <v>5064</v>
      </c>
      <c r="S58" s="2">
        <f t="shared" si="1"/>
        <v>9280</v>
      </c>
    </row>
    <row r="59" spans="1:19" x14ac:dyDescent="0.25">
      <c r="A59" s="3" t="s">
        <v>119</v>
      </c>
      <c r="B59" s="1">
        <v>44548</v>
      </c>
      <c r="C59">
        <v>18</v>
      </c>
      <c r="D59" t="s">
        <v>20</v>
      </c>
      <c r="E59">
        <v>2021</v>
      </c>
      <c r="F59">
        <v>24</v>
      </c>
      <c r="G59" s="8" t="s">
        <v>43</v>
      </c>
      <c r="H59" t="s">
        <v>22</v>
      </c>
      <c r="I59" t="s">
        <v>89</v>
      </c>
      <c r="J59" t="s">
        <v>120</v>
      </c>
      <c r="K59" t="s">
        <v>25</v>
      </c>
      <c r="L59" t="s">
        <v>26</v>
      </c>
      <c r="M59" s="5" t="s">
        <v>55</v>
      </c>
      <c r="N59">
        <v>3</v>
      </c>
      <c r="O59" s="2">
        <v>1266</v>
      </c>
      <c r="P59" s="2">
        <v>2320</v>
      </c>
      <c r="Q59" s="2">
        <v>3162</v>
      </c>
      <c r="R59" s="2">
        <f t="shared" si="0"/>
        <v>3798</v>
      </c>
      <c r="S59" s="2">
        <f t="shared" si="1"/>
        <v>6960</v>
      </c>
    </row>
    <row r="60" spans="1:19" x14ac:dyDescent="0.25">
      <c r="A60" s="3" t="s">
        <v>121</v>
      </c>
      <c r="B60" s="1">
        <v>44548</v>
      </c>
      <c r="C60">
        <v>18</v>
      </c>
      <c r="D60" t="s">
        <v>20</v>
      </c>
      <c r="E60">
        <v>2021</v>
      </c>
      <c r="F60">
        <v>26</v>
      </c>
      <c r="G60" s="8" t="s">
        <v>36</v>
      </c>
      <c r="H60" t="s">
        <v>22</v>
      </c>
      <c r="I60" t="s">
        <v>29</v>
      </c>
      <c r="J60" t="s">
        <v>30</v>
      </c>
      <c r="K60" t="s">
        <v>25</v>
      </c>
      <c r="L60" t="s">
        <v>26</v>
      </c>
      <c r="M60" s="5" t="s">
        <v>39</v>
      </c>
      <c r="N60">
        <v>3</v>
      </c>
      <c r="O60" s="2">
        <v>420</v>
      </c>
      <c r="P60" s="2">
        <v>769</v>
      </c>
      <c r="Q60" s="2">
        <v>1047</v>
      </c>
      <c r="R60" s="2">
        <f t="shared" si="0"/>
        <v>1260</v>
      </c>
      <c r="S60" s="2">
        <f t="shared" si="1"/>
        <v>2307</v>
      </c>
    </row>
    <row r="61" spans="1:19" x14ac:dyDescent="0.25">
      <c r="A61" s="3" t="s">
        <v>122</v>
      </c>
      <c r="B61" s="1">
        <v>44548</v>
      </c>
      <c r="C61">
        <v>18</v>
      </c>
      <c r="D61" t="s">
        <v>20</v>
      </c>
      <c r="E61">
        <v>2021</v>
      </c>
      <c r="F61">
        <v>39</v>
      </c>
      <c r="G61" s="8" t="s">
        <v>21</v>
      </c>
      <c r="H61" t="s">
        <v>28</v>
      </c>
      <c r="I61" t="s">
        <v>23</v>
      </c>
      <c r="J61" t="s">
        <v>24</v>
      </c>
      <c r="K61" t="s">
        <v>25</v>
      </c>
      <c r="L61" t="s">
        <v>26</v>
      </c>
      <c r="M61" s="5" t="s">
        <v>62</v>
      </c>
      <c r="N61">
        <v>3</v>
      </c>
      <c r="O61" s="2">
        <v>1252</v>
      </c>
      <c r="P61" s="2">
        <v>2295</v>
      </c>
      <c r="Q61" s="2">
        <v>3129</v>
      </c>
      <c r="R61" s="2">
        <f t="shared" si="0"/>
        <v>3756</v>
      </c>
      <c r="S61" s="2">
        <f t="shared" si="1"/>
        <v>6885</v>
      </c>
    </row>
    <row r="62" spans="1:19" x14ac:dyDescent="0.25">
      <c r="A62" s="3" t="s">
        <v>123</v>
      </c>
      <c r="B62" s="1">
        <v>44548</v>
      </c>
      <c r="C62">
        <v>18</v>
      </c>
      <c r="D62" t="s">
        <v>20</v>
      </c>
      <c r="E62">
        <v>2021</v>
      </c>
      <c r="F62">
        <v>26</v>
      </c>
      <c r="G62" s="8" t="s">
        <v>36</v>
      </c>
      <c r="H62" t="s">
        <v>28</v>
      </c>
      <c r="I62" t="s">
        <v>89</v>
      </c>
      <c r="J62" t="s">
        <v>90</v>
      </c>
      <c r="K62" t="s">
        <v>25</v>
      </c>
      <c r="L62" t="s">
        <v>26</v>
      </c>
      <c r="M62" s="5" t="s">
        <v>27</v>
      </c>
      <c r="N62">
        <v>1</v>
      </c>
      <c r="O62" s="2">
        <v>1252</v>
      </c>
      <c r="P62" s="2">
        <v>2295</v>
      </c>
      <c r="Q62" s="2">
        <v>1043</v>
      </c>
      <c r="R62" s="2">
        <f t="shared" si="0"/>
        <v>1252</v>
      </c>
      <c r="S62" s="2">
        <f t="shared" si="1"/>
        <v>2295</v>
      </c>
    </row>
    <row r="63" spans="1:19" x14ac:dyDescent="0.25">
      <c r="A63" s="3" t="s">
        <v>124</v>
      </c>
      <c r="B63" s="1">
        <v>44548</v>
      </c>
      <c r="C63">
        <v>18</v>
      </c>
      <c r="D63" t="s">
        <v>20</v>
      </c>
      <c r="E63">
        <v>2021</v>
      </c>
      <c r="F63">
        <v>36</v>
      </c>
      <c r="G63" s="8" t="s">
        <v>21</v>
      </c>
      <c r="H63" t="s">
        <v>28</v>
      </c>
      <c r="I63" t="s">
        <v>23</v>
      </c>
      <c r="J63" t="s">
        <v>47</v>
      </c>
      <c r="K63" t="s">
        <v>25</v>
      </c>
      <c r="L63" t="s">
        <v>26</v>
      </c>
      <c r="M63" s="5" t="s">
        <v>55</v>
      </c>
      <c r="N63">
        <v>1</v>
      </c>
      <c r="O63" s="2">
        <v>1266</v>
      </c>
      <c r="P63" s="2">
        <v>2320</v>
      </c>
      <c r="Q63" s="2">
        <v>1054</v>
      </c>
      <c r="R63" s="2">
        <f t="shared" si="0"/>
        <v>1266</v>
      </c>
      <c r="S63" s="2">
        <f t="shared" si="1"/>
        <v>2320</v>
      </c>
    </row>
    <row r="64" spans="1:19" x14ac:dyDescent="0.25">
      <c r="A64" s="3" t="s">
        <v>125</v>
      </c>
      <c r="B64" s="1">
        <v>44549</v>
      </c>
      <c r="C64">
        <v>19</v>
      </c>
      <c r="D64" t="s">
        <v>20</v>
      </c>
      <c r="E64">
        <v>2021</v>
      </c>
      <c r="F64">
        <v>17</v>
      </c>
      <c r="G64" s="8" t="s">
        <v>43</v>
      </c>
      <c r="H64" t="s">
        <v>28</v>
      </c>
      <c r="I64" t="s">
        <v>89</v>
      </c>
      <c r="J64" t="s">
        <v>126</v>
      </c>
      <c r="K64" t="s">
        <v>25</v>
      </c>
      <c r="L64" t="s">
        <v>26</v>
      </c>
      <c r="M64" s="5" t="s">
        <v>113</v>
      </c>
      <c r="N64">
        <v>4</v>
      </c>
      <c r="O64" s="2">
        <v>1266</v>
      </c>
      <c r="P64" s="2">
        <v>2320</v>
      </c>
      <c r="Q64" s="2">
        <v>4216</v>
      </c>
      <c r="R64" s="2">
        <f t="shared" si="0"/>
        <v>5064</v>
      </c>
      <c r="S64" s="2">
        <f t="shared" si="1"/>
        <v>9280</v>
      </c>
    </row>
    <row r="65" spans="1:19" x14ac:dyDescent="0.25">
      <c r="A65" s="3" t="s">
        <v>127</v>
      </c>
      <c r="B65" s="1">
        <v>44549</v>
      </c>
      <c r="C65">
        <v>19</v>
      </c>
      <c r="D65" t="s">
        <v>20</v>
      </c>
      <c r="E65">
        <v>2021</v>
      </c>
      <c r="F65">
        <v>19</v>
      </c>
      <c r="G65" s="8" t="s">
        <v>43</v>
      </c>
      <c r="H65" t="s">
        <v>22</v>
      </c>
      <c r="I65" t="s">
        <v>37</v>
      </c>
      <c r="J65" t="s">
        <v>76</v>
      </c>
      <c r="K65" t="s">
        <v>25</v>
      </c>
      <c r="L65" t="s">
        <v>26</v>
      </c>
      <c r="M65" s="5" t="s">
        <v>128</v>
      </c>
      <c r="N65">
        <v>4</v>
      </c>
      <c r="O65" s="2">
        <v>295</v>
      </c>
      <c r="P65" s="2">
        <v>540</v>
      </c>
      <c r="Q65" s="2">
        <v>980</v>
      </c>
      <c r="R65" s="2">
        <f t="shared" si="0"/>
        <v>1180</v>
      </c>
      <c r="S65" s="2">
        <f t="shared" si="1"/>
        <v>2160</v>
      </c>
    </row>
    <row r="66" spans="1:19" x14ac:dyDescent="0.25">
      <c r="A66" s="3" t="s">
        <v>129</v>
      </c>
      <c r="B66" s="1">
        <v>44549</v>
      </c>
      <c r="C66">
        <v>19</v>
      </c>
      <c r="D66" t="s">
        <v>20</v>
      </c>
      <c r="E66">
        <v>2021</v>
      </c>
      <c r="F66">
        <v>25</v>
      </c>
      <c r="G66" s="8" t="s">
        <v>36</v>
      </c>
      <c r="H66" t="s">
        <v>28</v>
      </c>
      <c r="I66" t="s">
        <v>89</v>
      </c>
      <c r="J66" t="s">
        <v>90</v>
      </c>
      <c r="K66" t="s">
        <v>25</v>
      </c>
      <c r="L66" t="s">
        <v>26</v>
      </c>
      <c r="M66" s="5" t="s">
        <v>44</v>
      </c>
      <c r="N66">
        <v>4</v>
      </c>
      <c r="O66" s="2">
        <v>1252</v>
      </c>
      <c r="P66" s="2">
        <v>2295</v>
      </c>
      <c r="Q66" s="2">
        <v>4172</v>
      </c>
      <c r="R66" s="2">
        <f t="shared" si="0"/>
        <v>5008</v>
      </c>
      <c r="S66" s="2">
        <f t="shared" si="1"/>
        <v>9180</v>
      </c>
    </row>
    <row r="67" spans="1:19" x14ac:dyDescent="0.25">
      <c r="A67" s="3" t="s">
        <v>130</v>
      </c>
      <c r="B67" s="1">
        <v>44549</v>
      </c>
      <c r="C67">
        <v>19</v>
      </c>
      <c r="D67" t="s">
        <v>20</v>
      </c>
      <c r="E67">
        <v>2021</v>
      </c>
      <c r="F67">
        <v>35</v>
      </c>
      <c r="G67" s="8" t="s">
        <v>21</v>
      </c>
      <c r="H67" t="s">
        <v>22</v>
      </c>
      <c r="I67" t="s">
        <v>23</v>
      </c>
      <c r="J67" t="s">
        <v>72</v>
      </c>
      <c r="K67" t="s">
        <v>25</v>
      </c>
      <c r="L67" t="s">
        <v>26</v>
      </c>
      <c r="M67" s="5" t="s">
        <v>131</v>
      </c>
      <c r="N67">
        <v>4</v>
      </c>
      <c r="O67" s="2">
        <v>1898</v>
      </c>
      <c r="P67" s="2">
        <v>3375</v>
      </c>
      <c r="Q67" s="2">
        <v>5908</v>
      </c>
      <c r="R67" s="2">
        <f t="shared" si="0"/>
        <v>7592</v>
      </c>
      <c r="S67" s="2">
        <f t="shared" si="1"/>
        <v>13500</v>
      </c>
    </row>
    <row r="68" spans="1:19" x14ac:dyDescent="0.25">
      <c r="A68" s="3" t="s">
        <v>132</v>
      </c>
      <c r="B68" s="1">
        <v>44549</v>
      </c>
      <c r="C68">
        <v>19</v>
      </c>
      <c r="D68" t="s">
        <v>20</v>
      </c>
      <c r="E68">
        <v>2021</v>
      </c>
      <c r="F68">
        <v>37</v>
      </c>
      <c r="G68" s="8" t="s">
        <v>21</v>
      </c>
      <c r="H68" t="s">
        <v>28</v>
      </c>
      <c r="I68" t="s">
        <v>23</v>
      </c>
      <c r="J68" t="s">
        <v>72</v>
      </c>
      <c r="K68" t="s">
        <v>25</v>
      </c>
      <c r="L68" t="s">
        <v>26</v>
      </c>
      <c r="M68" s="5" t="s">
        <v>44</v>
      </c>
      <c r="N68">
        <v>4</v>
      </c>
      <c r="O68" s="2">
        <v>1252</v>
      </c>
      <c r="P68" s="2">
        <v>2295</v>
      </c>
      <c r="Q68" s="2">
        <v>4172</v>
      </c>
      <c r="R68" s="2">
        <f t="shared" ref="R68:R90" si="2">N68*O68</f>
        <v>5008</v>
      </c>
      <c r="S68" s="2">
        <f t="shared" ref="S68:S90" si="3">N68*P68</f>
        <v>9180</v>
      </c>
    </row>
    <row r="69" spans="1:19" x14ac:dyDescent="0.25">
      <c r="A69" s="3" t="s">
        <v>133</v>
      </c>
      <c r="B69" s="1">
        <v>44549</v>
      </c>
      <c r="C69">
        <v>19</v>
      </c>
      <c r="D69" t="s">
        <v>20</v>
      </c>
      <c r="E69">
        <v>2021</v>
      </c>
      <c r="F69">
        <v>39</v>
      </c>
      <c r="G69" s="8" t="s">
        <v>21</v>
      </c>
      <c r="H69" t="s">
        <v>22</v>
      </c>
      <c r="I69" t="s">
        <v>23</v>
      </c>
      <c r="J69" t="s">
        <v>24</v>
      </c>
      <c r="K69" t="s">
        <v>25</v>
      </c>
      <c r="L69" t="s">
        <v>26</v>
      </c>
      <c r="M69" s="5" t="s">
        <v>27</v>
      </c>
      <c r="N69">
        <v>4</v>
      </c>
      <c r="O69" s="2">
        <v>1252</v>
      </c>
      <c r="P69" s="2">
        <v>2295</v>
      </c>
      <c r="Q69" s="2">
        <v>4172</v>
      </c>
      <c r="R69" s="2">
        <f t="shared" si="2"/>
        <v>5008</v>
      </c>
      <c r="S69" s="2">
        <f t="shared" si="3"/>
        <v>9180</v>
      </c>
    </row>
    <row r="70" spans="1:19" x14ac:dyDescent="0.25">
      <c r="A70" s="3" t="s">
        <v>134</v>
      </c>
      <c r="B70" s="1">
        <v>44549</v>
      </c>
      <c r="C70">
        <v>19</v>
      </c>
      <c r="D70" t="s">
        <v>20</v>
      </c>
      <c r="E70">
        <v>2021</v>
      </c>
      <c r="F70">
        <v>63</v>
      </c>
      <c r="G70" s="8" t="s">
        <v>21</v>
      </c>
      <c r="H70" t="s">
        <v>22</v>
      </c>
      <c r="I70" t="s">
        <v>37</v>
      </c>
      <c r="J70" t="s">
        <v>54</v>
      </c>
      <c r="K70" t="s">
        <v>25</v>
      </c>
      <c r="L70" t="s">
        <v>26</v>
      </c>
      <c r="M70" s="5" t="s">
        <v>27</v>
      </c>
      <c r="N70">
        <v>4</v>
      </c>
      <c r="O70" s="2">
        <v>1252</v>
      </c>
      <c r="P70" s="2">
        <v>2295</v>
      </c>
      <c r="Q70" s="2">
        <v>4172</v>
      </c>
      <c r="R70" s="2">
        <f t="shared" si="2"/>
        <v>5008</v>
      </c>
      <c r="S70" s="2">
        <f t="shared" si="3"/>
        <v>9180</v>
      </c>
    </row>
    <row r="71" spans="1:19" x14ac:dyDescent="0.25">
      <c r="A71" s="3" t="s">
        <v>135</v>
      </c>
      <c r="B71" s="1">
        <v>44549</v>
      </c>
      <c r="C71">
        <v>19</v>
      </c>
      <c r="D71" t="s">
        <v>20</v>
      </c>
      <c r="E71">
        <v>2021</v>
      </c>
      <c r="F71">
        <v>18</v>
      </c>
      <c r="G71" s="8" t="s">
        <v>43</v>
      </c>
      <c r="H71" t="s">
        <v>28</v>
      </c>
      <c r="I71" t="s">
        <v>37</v>
      </c>
      <c r="J71" t="s">
        <v>136</v>
      </c>
      <c r="K71" t="s">
        <v>25</v>
      </c>
      <c r="L71" t="s">
        <v>26</v>
      </c>
      <c r="M71" s="5" t="s">
        <v>84</v>
      </c>
      <c r="N71">
        <v>2</v>
      </c>
      <c r="O71" s="2">
        <v>295</v>
      </c>
      <c r="P71" s="2">
        <v>540</v>
      </c>
      <c r="Q71" s="2">
        <v>490</v>
      </c>
      <c r="R71" s="2">
        <f t="shared" si="2"/>
        <v>590</v>
      </c>
      <c r="S71" s="2">
        <f t="shared" si="3"/>
        <v>1080</v>
      </c>
    </row>
    <row r="72" spans="1:19" x14ac:dyDescent="0.25">
      <c r="A72" s="3" t="s">
        <v>137</v>
      </c>
      <c r="B72" s="1">
        <v>44549</v>
      </c>
      <c r="C72">
        <v>19</v>
      </c>
      <c r="D72" t="s">
        <v>20</v>
      </c>
      <c r="E72">
        <v>2021</v>
      </c>
      <c r="F72">
        <v>56</v>
      </c>
      <c r="G72" s="8" t="s">
        <v>21</v>
      </c>
      <c r="H72" t="s">
        <v>22</v>
      </c>
      <c r="I72" t="s">
        <v>51</v>
      </c>
      <c r="J72" t="s">
        <v>138</v>
      </c>
      <c r="K72" t="s">
        <v>25</v>
      </c>
      <c r="L72" t="s">
        <v>26</v>
      </c>
      <c r="M72" s="5" t="s">
        <v>27</v>
      </c>
      <c r="N72">
        <v>2</v>
      </c>
      <c r="O72" s="2">
        <v>1252</v>
      </c>
      <c r="P72" s="2">
        <v>2295</v>
      </c>
      <c r="Q72" s="2">
        <v>2086</v>
      </c>
      <c r="R72" s="2">
        <f t="shared" si="2"/>
        <v>2504</v>
      </c>
      <c r="S72" s="2">
        <f t="shared" si="3"/>
        <v>4590</v>
      </c>
    </row>
    <row r="73" spans="1:19" x14ac:dyDescent="0.25">
      <c r="A73" s="3" t="s">
        <v>139</v>
      </c>
      <c r="B73" s="1">
        <v>44549</v>
      </c>
      <c r="C73">
        <v>19</v>
      </c>
      <c r="D73" t="s">
        <v>20</v>
      </c>
      <c r="E73">
        <v>2021</v>
      </c>
      <c r="F73">
        <v>39</v>
      </c>
      <c r="G73" s="8" t="s">
        <v>21</v>
      </c>
      <c r="H73" t="s">
        <v>22</v>
      </c>
      <c r="I73" t="s">
        <v>23</v>
      </c>
      <c r="J73" t="s">
        <v>47</v>
      </c>
      <c r="K73" t="s">
        <v>25</v>
      </c>
      <c r="L73" t="s">
        <v>26</v>
      </c>
      <c r="M73" s="5" t="s">
        <v>55</v>
      </c>
      <c r="N73">
        <v>1</v>
      </c>
      <c r="O73" s="2">
        <v>1266</v>
      </c>
      <c r="P73" s="2">
        <v>2320</v>
      </c>
      <c r="Q73" s="2">
        <v>1054</v>
      </c>
      <c r="R73" s="2">
        <f t="shared" si="2"/>
        <v>1266</v>
      </c>
      <c r="S73" s="2">
        <f t="shared" si="3"/>
        <v>2320</v>
      </c>
    </row>
    <row r="74" spans="1:19" x14ac:dyDescent="0.25">
      <c r="A74" s="3" t="s">
        <v>140</v>
      </c>
      <c r="B74" s="1">
        <v>44550</v>
      </c>
      <c r="C74">
        <v>20</v>
      </c>
      <c r="D74" t="s">
        <v>20</v>
      </c>
      <c r="E74">
        <v>2021</v>
      </c>
      <c r="F74">
        <v>33</v>
      </c>
      <c r="G74" s="8" t="s">
        <v>36</v>
      </c>
      <c r="H74" t="s">
        <v>22</v>
      </c>
      <c r="I74" t="s">
        <v>37</v>
      </c>
      <c r="J74" t="s">
        <v>76</v>
      </c>
      <c r="K74" t="s">
        <v>25</v>
      </c>
      <c r="L74" t="s">
        <v>26</v>
      </c>
      <c r="M74" s="5" t="s">
        <v>77</v>
      </c>
      <c r="N74">
        <v>4</v>
      </c>
      <c r="O74" s="2">
        <v>1898</v>
      </c>
      <c r="P74" s="2">
        <v>3375</v>
      </c>
      <c r="Q74" s="2">
        <v>5908</v>
      </c>
      <c r="R74" s="2">
        <f t="shared" si="2"/>
        <v>7592</v>
      </c>
      <c r="S74" s="2">
        <f t="shared" si="3"/>
        <v>13500</v>
      </c>
    </row>
    <row r="75" spans="1:19" x14ac:dyDescent="0.25">
      <c r="A75" s="3" t="s">
        <v>141</v>
      </c>
      <c r="B75" s="1">
        <v>44550</v>
      </c>
      <c r="C75">
        <v>20</v>
      </c>
      <c r="D75" t="s">
        <v>20</v>
      </c>
      <c r="E75">
        <v>2021</v>
      </c>
      <c r="F75">
        <v>57</v>
      </c>
      <c r="G75" s="8" t="s">
        <v>21</v>
      </c>
      <c r="H75" t="s">
        <v>28</v>
      </c>
      <c r="I75" t="s">
        <v>37</v>
      </c>
      <c r="J75" t="s">
        <v>54</v>
      </c>
      <c r="K75" t="s">
        <v>25</v>
      </c>
      <c r="L75" t="s">
        <v>26</v>
      </c>
      <c r="M75" s="5" t="s">
        <v>27</v>
      </c>
      <c r="N75">
        <v>4</v>
      </c>
      <c r="O75" s="2">
        <v>1252</v>
      </c>
      <c r="P75" s="2">
        <v>2295</v>
      </c>
      <c r="Q75" s="2">
        <v>4172</v>
      </c>
      <c r="R75" s="2">
        <f t="shared" si="2"/>
        <v>5008</v>
      </c>
      <c r="S75" s="2">
        <f t="shared" si="3"/>
        <v>9180</v>
      </c>
    </row>
    <row r="76" spans="1:19" x14ac:dyDescent="0.25">
      <c r="A76" s="3" t="s">
        <v>142</v>
      </c>
      <c r="B76" s="1">
        <v>44550</v>
      </c>
      <c r="C76">
        <v>20</v>
      </c>
      <c r="D76" t="s">
        <v>20</v>
      </c>
      <c r="E76">
        <v>2021</v>
      </c>
      <c r="F76">
        <v>29</v>
      </c>
      <c r="G76" s="8" t="s">
        <v>36</v>
      </c>
      <c r="H76" t="s">
        <v>28</v>
      </c>
      <c r="I76" t="s">
        <v>59</v>
      </c>
      <c r="J76" t="s">
        <v>60</v>
      </c>
      <c r="K76" t="s">
        <v>25</v>
      </c>
      <c r="L76" t="s">
        <v>26</v>
      </c>
      <c r="M76" s="5" t="s">
        <v>143</v>
      </c>
      <c r="N76">
        <v>3</v>
      </c>
      <c r="O76" s="2">
        <v>295</v>
      </c>
      <c r="P76" s="2">
        <v>540</v>
      </c>
      <c r="Q76" s="2">
        <v>735</v>
      </c>
      <c r="R76" s="2">
        <f t="shared" si="2"/>
        <v>885</v>
      </c>
      <c r="S76" s="2">
        <f t="shared" si="3"/>
        <v>1620</v>
      </c>
    </row>
    <row r="77" spans="1:19" x14ac:dyDescent="0.25">
      <c r="A77" s="3" t="s">
        <v>144</v>
      </c>
      <c r="B77" s="1">
        <v>44550</v>
      </c>
      <c r="C77">
        <v>20</v>
      </c>
      <c r="D77" t="s">
        <v>20</v>
      </c>
      <c r="E77">
        <v>2021</v>
      </c>
      <c r="F77">
        <v>35</v>
      </c>
      <c r="G77" s="8" t="s">
        <v>21</v>
      </c>
      <c r="H77" t="s">
        <v>22</v>
      </c>
      <c r="I77" t="s">
        <v>37</v>
      </c>
      <c r="J77" t="s">
        <v>54</v>
      </c>
      <c r="K77" t="s">
        <v>25</v>
      </c>
      <c r="L77" t="s">
        <v>26</v>
      </c>
      <c r="M77" s="5" t="s">
        <v>55</v>
      </c>
      <c r="N77">
        <v>1</v>
      </c>
      <c r="O77" s="2">
        <v>1266</v>
      </c>
      <c r="P77" s="2">
        <v>2320</v>
      </c>
      <c r="Q77" s="2">
        <v>1054</v>
      </c>
      <c r="R77" s="2">
        <f t="shared" si="2"/>
        <v>1266</v>
      </c>
      <c r="S77" s="2">
        <f t="shared" si="3"/>
        <v>2320</v>
      </c>
    </row>
    <row r="78" spans="1:19" x14ac:dyDescent="0.25">
      <c r="A78" s="3" t="s">
        <v>145</v>
      </c>
      <c r="B78" s="1">
        <v>44550</v>
      </c>
      <c r="C78">
        <v>20</v>
      </c>
      <c r="D78" t="s">
        <v>20</v>
      </c>
      <c r="E78">
        <v>2021</v>
      </c>
      <c r="F78">
        <v>35</v>
      </c>
      <c r="G78" s="8" t="s">
        <v>21</v>
      </c>
      <c r="H78" t="s">
        <v>28</v>
      </c>
      <c r="I78" t="s">
        <v>37</v>
      </c>
      <c r="J78" t="s">
        <v>76</v>
      </c>
      <c r="K78" t="s">
        <v>25</v>
      </c>
      <c r="L78" t="s">
        <v>26</v>
      </c>
      <c r="M78" s="5" t="s">
        <v>55</v>
      </c>
      <c r="N78">
        <v>1</v>
      </c>
      <c r="O78" s="2">
        <v>1266</v>
      </c>
      <c r="P78" s="2">
        <v>2320</v>
      </c>
      <c r="Q78" s="2">
        <v>1054</v>
      </c>
      <c r="R78" s="2">
        <f t="shared" si="2"/>
        <v>1266</v>
      </c>
      <c r="S78" s="2">
        <f t="shared" si="3"/>
        <v>2320</v>
      </c>
    </row>
    <row r="79" spans="1:19" x14ac:dyDescent="0.25">
      <c r="A79" s="3" t="s">
        <v>146</v>
      </c>
      <c r="B79" s="1">
        <v>44551</v>
      </c>
      <c r="C79">
        <v>21</v>
      </c>
      <c r="D79" t="s">
        <v>20</v>
      </c>
      <c r="E79">
        <v>2021</v>
      </c>
      <c r="F79">
        <v>26</v>
      </c>
      <c r="G79" s="8" t="s">
        <v>36</v>
      </c>
      <c r="H79" t="s">
        <v>28</v>
      </c>
      <c r="I79" t="s">
        <v>89</v>
      </c>
      <c r="J79" t="s">
        <v>147</v>
      </c>
      <c r="K79" t="s">
        <v>25</v>
      </c>
      <c r="L79" t="s">
        <v>26</v>
      </c>
      <c r="M79" s="5" t="s">
        <v>55</v>
      </c>
      <c r="N79">
        <v>3</v>
      </c>
      <c r="O79" s="2">
        <v>1266</v>
      </c>
      <c r="P79" s="2">
        <v>2320</v>
      </c>
      <c r="Q79" s="2">
        <v>3162</v>
      </c>
      <c r="R79" s="2">
        <f t="shared" si="2"/>
        <v>3798</v>
      </c>
      <c r="S79" s="2">
        <f t="shared" si="3"/>
        <v>6960</v>
      </c>
    </row>
    <row r="80" spans="1:19" x14ac:dyDescent="0.25">
      <c r="A80" s="3" t="s">
        <v>148</v>
      </c>
      <c r="B80" s="1">
        <v>44551</v>
      </c>
      <c r="C80">
        <v>21</v>
      </c>
      <c r="D80" t="s">
        <v>20</v>
      </c>
      <c r="E80">
        <v>2021</v>
      </c>
      <c r="F80">
        <v>23</v>
      </c>
      <c r="G80" s="8" t="s">
        <v>43</v>
      </c>
      <c r="H80" t="s">
        <v>28</v>
      </c>
      <c r="I80" t="s">
        <v>29</v>
      </c>
      <c r="J80" t="s">
        <v>30</v>
      </c>
      <c r="K80" t="s">
        <v>25</v>
      </c>
      <c r="L80" t="s">
        <v>26</v>
      </c>
      <c r="M80" s="5" t="s">
        <v>34</v>
      </c>
      <c r="N80">
        <v>2</v>
      </c>
      <c r="O80" s="2">
        <v>420</v>
      </c>
      <c r="P80" s="2">
        <v>769</v>
      </c>
      <c r="Q80" s="2">
        <v>698</v>
      </c>
      <c r="R80" s="2">
        <f t="shared" si="2"/>
        <v>840</v>
      </c>
      <c r="S80" s="2">
        <f t="shared" si="3"/>
        <v>1538</v>
      </c>
    </row>
    <row r="81" spans="1:19" x14ac:dyDescent="0.25">
      <c r="A81" s="3" t="s">
        <v>149</v>
      </c>
      <c r="B81" s="1">
        <v>44552</v>
      </c>
      <c r="C81">
        <v>22</v>
      </c>
      <c r="D81" t="s">
        <v>20</v>
      </c>
      <c r="E81">
        <v>2021</v>
      </c>
      <c r="F81">
        <v>30</v>
      </c>
      <c r="G81" s="8" t="s">
        <v>36</v>
      </c>
      <c r="H81" t="s">
        <v>22</v>
      </c>
      <c r="I81" t="s">
        <v>23</v>
      </c>
      <c r="J81" t="s">
        <v>47</v>
      </c>
      <c r="K81" t="s">
        <v>25</v>
      </c>
      <c r="L81" t="s">
        <v>26</v>
      </c>
      <c r="M81" s="5" t="s">
        <v>55</v>
      </c>
      <c r="N81">
        <v>3</v>
      </c>
      <c r="O81" s="2">
        <v>1266</v>
      </c>
      <c r="P81" s="2">
        <v>2320</v>
      </c>
      <c r="Q81" s="2">
        <v>3162</v>
      </c>
      <c r="R81" s="2">
        <f t="shared" si="2"/>
        <v>3798</v>
      </c>
      <c r="S81" s="2">
        <f t="shared" si="3"/>
        <v>6960</v>
      </c>
    </row>
    <row r="82" spans="1:19" x14ac:dyDescent="0.25">
      <c r="A82" s="3" t="s">
        <v>150</v>
      </c>
      <c r="B82" s="1">
        <v>44552</v>
      </c>
      <c r="C82">
        <v>22</v>
      </c>
      <c r="D82" t="s">
        <v>20</v>
      </c>
      <c r="E82">
        <v>2021</v>
      </c>
      <c r="F82">
        <v>41</v>
      </c>
      <c r="G82" s="8" t="s">
        <v>21</v>
      </c>
      <c r="H82" t="s">
        <v>28</v>
      </c>
      <c r="I82" t="s">
        <v>23</v>
      </c>
      <c r="J82" t="s">
        <v>24</v>
      </c>
      <c r="K82" t="s">
        <v>25</v>
      </c>
      <c r="L82" t="s">
        <v>26</v>
      </c>
      <c r="M82" s="5" t="s">
        <v>62</v>
      </c>
      <c r="N82">
        <v>3</v>
      </c>
      <c r="O82" s="2">
        <v>1252</v>
      </c>
      <c r="P82" s="2">
        <v>2295</v>
      </c>
      <c r="Q82" s="2">
        <v>3129</v>
      </c>
      <c r="R82" s="2">
        <f t="shared" si="2"/>
        <v>3756</v>
      </c>
      <c r="S82" s="2">
        <f t="shared" si="3"/>
        <v>6885</v>
      </c>
    </row>
    <row r="83" spans="1:19" x14ac:dyDescent="0.25">
      <c r="A83" s="3" t="s">
        <v>151</v>
      </c>
      <c r="B83" s="1">
        <v>44552</v>
      </c>
      <c r="C83">
        <v>22</v>
      </c>
      <c r="D83" t="s">
        <v>20</v>
      </c>
      <c r="E83">
        <v>2021</v>
      </c>
      <c r="F83">
        <v>19</v>
      </c>
      <c r="G83" s="8" t="s">
        <v>43</v>
      </c>
      <c r="H83" t="s">
        <v>22</v>
      </c>
      <c r="I83" t="s">
        <v>37</v>
      </c>
      <c r="J83" t="s">
        <v>38</v>
      </c>
      <c r="K83" t="s">
        <v>25</v>
      </c>
      <c r="L83" t="s">
        <v>26</v>
      </c>
      <c r="M83" s="5" t="s">
        <v>69</v>
      </c>
      <c r="N83">
        <v>1</v>
      </c>
      <c r="O83" s="2">
        <v>308</v>
      </c>
      <c r="P83" s="2">
        <v>565</v>
      </c>
      <c r="Q83" s="2">
        <v>257</v>
      </c>
      <c r="R83" s="2">
        <f t="shared" si="2"/>
        <v>308</v>
      </c>
      <c r="S83" s="2">
        <f t="shared" si="3"/>
        <v>565</v>
      </c>
    </row>
    <row r="84" spans="1:19" x14ac:dyDescent="0.25">
      <c r="A84" s="3" t="s">
        <v>152</v>
      </c>
      <c r="B84" s="1">
        <v>44552</v>
      </c>
      <c r="C84">
        <v>22</v>
      </c>
      <c r="D84" t="s">
        <v>20</v>
      </c>
      <c r="E84">
        <v>2021</v>
      </c>
      <c r="F84">
        <v>25</v>
      </c>
      <c r="G84" s="8" t="s">
        <v>36</v>
      </c>
      <c r="H84" t="s">
        <v>28</v>
      </c>
      <c r="I84" t="s">
        <v>89</v>
      </c>
      <c r="J84" t="s">
        <v>90</v>
      </c>
      <c r="K84" t="s">
        <v>25</v>
      </c>
      <c r="L84" t="s">
        <v>26</v>
      </c>
      <c r="M84" s="5" t="s">
        <v>44</v>
      </c>
      <c r="N84">
        <v>1</v>
      </c>
      <c r="O84" s="2">
        <v>1252</v>
      </c>
      <c r="P84" s="2">
        <v>2295</v>
      </c>
      <c r="Q84" s="2">
        <v>1043</v>
      </c>
      <c r="R84" s="2">
        <f t="shared" si="2"/>
        <v>1252</v>
      </c>
      <c r="S84" s="2">
        <f t="shared" si="3"/>
        <v>2295</v>
      </c>
    </row>
    <row r="85" spans="1:19" x14ac:dyDescent="0.25">
      <c r="A85" s="3" t="s">
        <v>153</v>
      </c>
      <c r="B85" s="1">
        <v>44552</v>
      </c>
      <c r="C85">
        <v>22</v>
      </c>
      <c r="D85" t="s">
        <v>20</v>
      </c>
      <c r="E85">
        <v>2021</v>
      </c>
      <c r="F85">
        <v>27</v>
      </c>
      <c r="G85" s="8" t="s">
        <v>36</v>
      </c>
      <c r="H85" t="s">
        <v>22</v>
      </c>
      <c r="I85" t="s">
        <v>59</v>
      </c>
      <c r="J85" t="s">
        <v>60</v>
      </c>
      <c r="K85" t="s">
        <v>25</v>
      </c>
      <c r="L85" t="s">
        <v>26</v>
      </c>
      <c r="M85" s="5" t="s">
        <v>27</v>
      </c>
      <c r="N85">
        <v>1</v>
      </c>
      <c r="O85" s="2">
        <v>1252</v>
      </c>
      <c r="P85" s="2">
        <v>2295</v>
      </c>
      <c r="Q85" s="2">
        <v>1043</v>
      </c>
      <c r="R85" s="2">
        <f t="shared" si="2"/>
        <v>1252</v>
      </c>
      <c r="S85" s="2">
        <f t="shared" si="3"/>
        <v>2295</v>
      </c>
    </row>
    <row r="86" spans="1:19" x14ac:dyDescent="0.25">
      <c r="A86" s="3" t="s">
        <v>154</v>
      </c>
      <c r="B86" s="1">
        <v>44552</v>
      </c>
      <c r="C86">
        <v>22</v>
      </c>
      <c r="D86" t="s">
        <v>20</v>
      </c>
      <c r="E86">
        <v>2021</v>
      </c>
      <c r="F86">
        <v>41</v>
      </c>
      <c r="G86" s="8" t="s">
        <v>21</v>
      </c>
      <c r="H86" t="s">
        <v>28</v>
      </c>
      <c r="I86" t="s">
        <v>51</v>
      </c>
      <c r="J86" t="s">
        <v>138</v>
      </c>
      <c r="K86" t="s">
        <v>25</v>
      </c>
      <c r="L86" t="s">
        <v>26</v>
      </c>
      <c r="M86" s="5" t="s">
        <v>55</v>
      </c>
      <c r="N86">
        <v>1</v>
      </c>
      <c r="O86" s="2">
        <v>1266</v>
      </c>
      <c r="P86" s="2">
        <v>2320</v>
      </c>
      <c r="Q86" s="2">
        <v>1054</v>
      </c>
      <c r="R86" s="2">
        <f t="shared" si="2"/>
        <v>1266</v>
      </c>
      <c r="S86" s="2">
        <f t="shared" si="3"/>
        <v>2320</v>
      </c>
    </row>
    <row r="87" spans="1:19" x14ac:dyDescent="0.25">
      <c r="A87" s="3" t="s">
        <v>155</v>
      </c>
      <c r="B87" s="1">
        <v>44553</v>
      </c>
      <c r="C87">
        <v>23</v>
      </c>
      <c r="D87" t="s">
        <v>20</v>
      </c>
      <c r="E87">
        <v>2021</v>
      </c>
      <c r="F87">
        <v>30</v>
      </c>
      <c r="G87" s="8" t="s">
        <v>36</v>
      </c>
      <c r="H87" t="s">
        <v>22</v>
      </c>
      <c r="I87" t="s">
        <v>23</v>
      </c>
      <c r="J87" t="s">
        <v>72</v>
      </c>
      <c r="K87" t="s">
        <v>25</v>
      </c>
      <c r="L87" t="s">
        <v>26</v>
      </c>
      <c r="M87" s="5" t="s">
        <v>31</v>
      </c>
      <c r="N87">
        <v>1</v>
      </c>
      <c r="O87" s="2">
        <v>1266</v>
      </c>
      <c r="P87" s="2">
        <v>2320</v>
      </c>
      <c r="Q87" s="2">
        <v>1054</v>
      </c>
      <c r="R87" s="2">
        <f t="shared" si="2"/>
        <v>1266</v>
      </c>
      <c r="S87" s="2">
        <f t="shared" si="3"/>
        <v>2320</v>
      </c>
    </row>
    <row r="88" spans="1:19" x14ac:dyDescent="0.25">
      <c r="A88" s="3" t="s">
        <v>156</v>
      </c>
      <c r="B88" s="1">
        <v>44553</v>
      </c>
      <c r="C88">
        <v>23</v>
      </c>
      <c r="D88" t="s">
        <v>20</v>
      </c>
      <c r="E88">
        <v>2021</v>
      </c>
      <c r="F88">
        <v>31</v>
      </c>
      <c r="G88" s="8" t="s">
        <v>36</v>
      </c>
      <c r="H88" t="s">
        <v>22</v>
      </c>
      <c r="I88" t="s">
        <v>59</v>
      </c>
      <c r="J88" t="s">
        <v>60</v>
      </c>
      <c r="K88" t="s">
        <v>25</v>
      </c>
      <c r="L88" t="s">
        <v>26</v>
      </c>
      <c r="M88" s="5" t="s">
        <v>62</v>
      </c>
      <c r="N88">
        <v>1</v>
      </c>
      <c r="O88" s="2">
        <v>1252</v>
      </c>
      <c r="P88" s="2">
        <v>2295</v>
      </c>
      <c r="Q88" s="2">
        <v>1043</v>
      </c>
      <c r="R88" s="2">
        <f t="shared" si="2"/>
        <v>1252</v>
      </c>
      <c r="S88" s="2">
        <f t="shared" si="3"/>
        <v>2295</v>
      </c>
    </row>
    <row r="89" spans="1:19" x14ac:dyDescent="0.25">
      <c r="A89" s="3" t="s">
        <v>157</v>
      </c>
      <c r="B89" s="1">
        <v>44553</v>
      </c>
      <c r="C89">
        <v>23</v>
      </c>
      <c r="D89" t="s">
        <v>20</v>
      </c>
      <c r="E89">
        <v>2021</v>
      </c>
      <c r="F89">
        <v>35</v>
      </c>
      <c r="G89" s="8" t="s">
        <v>21</v>
      </c>
      <c r="H89" t="s">
        <v>22</v>
      </c>
      <c r="I89" t="s">
        <v>23</v>
      </c>
      <c r="J89" t="s">
        <v>24</v>
      </c>
      <c r="K89" t="s">
        <v>25</v>
      </c>
      <c r="L89" t="s">
        <v>26</v>
      </c>
      <c r="M89" s="5" t="s">
        <v>74</v>
      </c>
      <c r="N89">
        <v>1</v>
      </c>
      <c r="O89" s="2">
        <v>295</v>
      </c>
      <c r="P89" s="2">
        <v>540</v>
      </c>
      <c r="Q89" s="2">
        <v>245</v>
      </c>
      <c r="R89" s="2">
        <f t="shared" si="2"/>
        <v>295</v>
      </c>
      <c r="S89" s="2">
        <f t="shared" si="3"/>
        <v>540</v>
      </c>
    </row>
    <row r="90" spans="1:19" x14ac:dyDescent="0.25">
      <c r="A90" s="3" t="s">
        <v>158</v>
      </c>
      <c r="B90" s="1">
        <v>44554</v>
      </c>
      <c r="C90">
        <v>24</v>
      </c>
      <c r="D90" t="s">
        <v>20</v>
      </c>
      <c r="E90">
        <v>2021</v>
      </c>
      <c r="F90">
        <v>38</v>
      </c>
      <c r="G90" s="8" t="s">
        <v>21</v>
      </c>
      <c r="H90" t="s">
        <v>28</v>
      </c>
      <c r="I90" t="s">
        <v>37</v>
      </c>
      <c r="J90" t="s">
        <v>54</v>
      </c>
      <c r="K90" t="s">
        <v>25</v>
      </c>
      <c r="L90" t="s">
        <v>26</v>
      </c>
      <c r="M90" s="5" t="s">
        <v>62</v>
      </c>
      <c r="N90">
        <v>4</v>
      </c>
      <c r="O90" s="2">
        <v>1252</v>
      </c>
      <c r="P90" s="2">
        <v>2295</v>
      </c>
      <c r="Q90" s="2">
        <v>4172</v>
      </c>
      <c r="R90" s="2">
        <f t="shared" si="2"/>
        <v>5008</v>
      </c>
      <c r="S90" s="2">
        <f t="shared" si="3"/>
        <v>9180</v>
      </c>
    </row>
  </sheetData>
  <phoneticPr fontId="18" type="noConversion"/>
  <pageMargins left="0.7" right="0.7" top="0.75" bottom="0.75" header="0.3" footer="0.3"/>
  <ignoredErrors>
    <ignoredError sqref="A2"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E4CEF-CCB2-44D7-89A2-2CD8D992C62B}">
  <sheetPr codeName="Sheet2"/>
  <dimension ref="A1:F19"/>
  <sheetViews>
    <sheetView workbookViewId="0">
      <selection activeCell="I15" sqref="I15"/>
    </sheetView>
  </sheetViews>
  <sheetFormatPr defaultRowHeight="15" x14ac:dyDescent="0.25"/>
  <cols>
    <col min="1" max="1" width="12.85546875" customWidth="1"/>
    <col min="2" max="2" width="18.85546875" customWidth="1"/>
    <col min="3" max="3" width="15.28515625" customWidth="1"/>
    <col min="4" max="4" width="24.7109375" bestFit="1" customWidth="1"/>
    <col min="5" max="5" width="12.7109375" style="17" customWidth="1"/>
    <col min="6" max="6" width="13.28515625" customWidth="1"/>
  </cols>
  <sheetData>
    <row r="1" spans="1:6" s="4" customFormat="1" x14ac:dyDescent="0.25">
      <c r="A1" s="4" t="s">
        <v>159</v>
      </c>
      <c r="B1" s="4" t="s">
        <v>10</v>
      </c>
      <c r="C1" s="4" t="s">
        <v>11</v>
      </c>
      <c r="D1" s="4" t="s">
        <v>12</v>
      </c>
      <c r="E1" s="16" t="s">
        <v>14</v>
      </c>
      <c r="F1" s="4" t="s">
        <v>15</v>
      </c>
    </row>
    <row r="2" spans="1:6" x14ac:dyDescent="0.25">
      <c r="A2">
        <v>1</v>
      </c>
      <c r="B2" t="s">
        <v>25</v>
      </c>
      <c r="C2" t="s">
        <v>26</v>
      </c>
      <c r="D2" t="s">
        <v>27</v>
      </c>
      <c r="E2" s="18">
        <v>1252</v>
      </c>
      <c r="F2" s="18">
        <v>2295</v>
      </c>
    </row>
    <row r="3" spans="1:6" x14ac:dyDescent="0.25">
      <c r="A3">
        <v>2</v>
      </c>
      <c r="B3" t="s">
        <v>25</v>
      </c>
      <c r="C3" t="s">
        <v>26</v>
      </c>
      <c r="D3" t="s">
        <v>31</v>
      </c>
      <c r="E3" s="18">
        <v>1266</v>
      </c>
      <c r="F3" s="18">
        <v>2320</v>
      </c>
    </row>
    <row r="4" spans="1:6" x14ac:dyDescent="0.25">
      <c r="A4">
        <v>3</v>
      </c>
      <c r="B4" t="s">
        <v>25</v>
      </c>
      <c r="C4" t="s">
        <v>26</v>
      </c>
      <c r="D4" t="s">
        <v>34</v>
      </c>
      <c r="E4" s="18">
        <v>420</v>
      </c>
      <c r="F4" s="18">
        <v>769</v>
      </c>
    </row>
    <row r="5" spans="1:6" x14ac:dyDescent="0.25">
      <c r="A5">
        <v>4</v>
      </c>
      <c r="B5" t="s">
        <v>25</v>
      </c>
      <c r="C5" t="s">
        <v>26</v>
      </c>
      <c r="D5" t="s">
        <v>39</v>
      </c>
      <c r="E5" s="18">
        <v>420</v>
      </c>
      <c r="F5" s="18">
        <v>769</v>
      </c>
    </row>
    <row r="6" spans="1:6" x14ac:dyDescent="0.25">
      <c r="A6">
        <v>5</v>
      </c>
      <c r="B6" t="s">
        <v>25</v>
      </c>
      <c r="C6" t="s">
        <v>26</v>
      </c>
      <c r="D6" t="s">
        <v>44</v>
      </c>
      <c r="E6" s="18">
        <v>1252</v>
      </c>
      <c r="F6" s="18">
        <v>2295</v>
      </c>
    </row>
    <row r="7" spans="1:6" x14ac:dyDescent="0.25">
      <c r="A7">
        <v>6</v>
      </c>
      <c r="B7" t="s">
        <v>25</v>
      </c>
      <c r="C7" t="s">
        <v>26</v>
      </c>
      <c r="D7" t="s">
        <v>55</v>
      </c>
      <c r="E7" s="18">
        <v>1266</v>
      </c>
      <c r="F7" s="18">
        <v>2320</v>
      </c>
    </row>
    <row r="8" spans="1:6" x14ac:dyDescent="0.25">
      <c r="A8">
        <v>7</v>
      </c>
      <c r="B8" t="s">
        <v>25</v>
      </c>
      <c r="C8" t="s">
        <v>26</v>
      </c>
      <c r="D8" t="s">
        <v>62</v>
      </c>
      <c r="E8" s="18">
        <v>1252</v>
      </c>
      <c r="F8" s="18">
        <v>2295</v>
      </c>
    </row>
    <row r="9" spans="1:6" x14ac:dyDescent="0.25">
      <c r="A9">
        <v>8</v>
      </c>
      <c r="B9" t="s">
        <v>25</v>
      </c>
      <c r="C9" t="s">
        <v>26</v>
      </c>
      <c r="D9" t="s">
        <v>66</v>
      </c>
      <c r="E9" s="18">
        <v>420</v>
      </c>
      <c r="F9" s="18">
        <v>769</v>
      </c>
    </row>
    <row r="10" spans="1:6" x14ac:dyDescent="0.25">
      <c r="A10">
        <v>9</v>
      </c>
      <c r="B10" t="s">
        <v>25</v>
      </c>
      <c r="C10" t="s">
        <v>26</v>
      </c>
      <c r="D10" t="s">
        <v>69</v>
      </c>
      <c r="E10" s="18">
        <v>308</v>
      </c>
      <c r="F10" s="18">
        <v>565</v>
      </c>
    </row>
    <row r="11" spans="1:6" x14ac:dyDescent="0.25">
      <c r="A11">
        <v>10</v>
      </c>
      <c r="B11" t="s">
        <v>25</v>
      </c>
      <c r="C11" t="s">
        <v>26</v>
      </c>
      <c r="D11" t="s">
        <v>74</v>
      </c>
      <c r="E11" s="18">
        <v>295</v>
      </c>
      <c r="F11" s="18">
        <v>540</v>
      </c>
    </row>
    <row r="12" spans="1:6" x14ac:dyDescent="0.25">
      <c r="A12">
        <v>11</v>
      </c>
      <c r="B12" t="s">
        <v>25</v>
      </c>
      <c r="C12" t="s">
        <v>26</v>
      </c>
      <c r="D12" t="s">
        <v>77</v>
      </c>
      <c r="E12" s="18">
        <v>1898</v>
      </c>
      <c r="F12" s="18">
        <v>3375</v>
      </c>
    </row>
    <row r="13" spans="1:6" x14ac:dyDescent="0.25">
      <c r="A13">
        <v>12</v>
      </c>
      <c r="B13" t="s">
        <v>25</v>
      </c>
      <c r="C13" t="s">
        <v>26</v>
      </c>
      <c r="D13" t="s">
        <v>84</v>
      </c>
      <c r="E13" s="18">
        <v>295</v>
      </c>
      <c r="F13" s="18">
        <v>540</v>
      </c>
    </row>
    <row r="14" spans="1:6" x14ac:dyDescent="0.25">
      <c r="A14">
        <v>13</v>
      </c>
      <c r="B14" t="s">
        <v>25</v>
      </c>
      <c r="C14" t="s">
        <v>26</v>
      </c>
      <c r="D14" t="s">
        <v>86</v>
      </c>
      <c r="E14" s="18">
        <v>1912</v>
      </c>
      <c r="F14" s="18">
        <v>3400</v>
      </c>
    </row>
    <row r="15" spans="1:6" x14ac:dyDescent="0.25">
      <c r="A15">
        <v>14</v>
      </c>
      <c r="B15" t="s">
        <v>25</v>
      </c>
      <c r="C15" t="s">
        <v>26</v>
      </c>
      <c r="D15" t="s">
        <v>102</v>
      </c>
      <c r="E15" s="18">
        <v>308</v>
      </c>
      <c r="F15" s="18">
        <v>565</v>
      </c>
    </row>
    <row r="16" spans="1:6" x14ac:dyDescent="0.25">
      <c r="A16">
        <v>15</v>
      </c>
      <c r="B16" t="s">
        <v>25</v>
      </c>
      <c r="C16" t="s">
        <v>26</v>
      </c>
      <c r="D16" t="s">
        <v>113</v>
      </c>
      <c r="E16" s="18">
        <v>1266</v>
      </c>
      <c r="F16" s="18">
        <v>2320</v>
      </c>
    </row>
    <row r="17" spans="1:6" x14ac:dyDescent="0.25">
      <c r="A17">
        <v>16</v>
      </c>
      <c r="B17" t="s">
        <v>25</v>
      </c>
      <c r="C17" t="s">
        <v>26</v>
      </c>
      <c r="D17" t="s">
        <v>128</v>
      </c>
      <c r="E17" s="18">
        <v>295</v>
      </c>
      <c r="F17" s="18">
        <v>540</v>
      </c>
    </row>
    <row r="18" spans="1:6" x14ac:dyDescent="0.25">
      <c r="A18">
        <v>17</v>
      </c>
      <c r="B18" t="s">
        <v>25</v>
      </c>
      <c r="C18" t="s">
        <v>26</v>
      </c>
      <c r="D18" t="s">
        <v>131</v>
      </c>
      <c r="E18" s="18">
        <v>1898</v>
      </c>
      <c r="F18" s="18">
        <v>3375</v>
      </c>
    </row>
    <row r="19" spans="1:6" x14ac:dyDescent="0.25">
      <c r="A19">
        <v>18</v>
      </c>
      <c r="B19" t="s">
        <v>25</v>
      </c>
      <c r="C19" t="s">
        <v>26</v>
      </c>
      <c r="D19" t="s">
        <v>143</v>
      </c>
      <c r="E19" s="18">
        <v>295</v>
      </c>
      <c r="F19" s="18">
        <v>540</v>
      </c>
    </row>
  </sheetData>
  <pageMargins left="0.7" right="0.7" top="0.75" bottom="0.75" header="0.3" footer="0.3"/>
  <pageSetup orientation="portrait" horizontalDpi="360" verticalDpi="36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53D69-EC79-4AAA-8DD3-4C1505E91B02}">
  <sheetPr codeName="Sheet3"/>
  <dimension ref="A1:R88"/>
  <sheetViews>
    <sheetView topLeftCell="A3" zoomScale="73" zoomScaleNormal="73" workbookViewId="0">
      <selection activeCell="M16" sqref="M16"/>
    </sheetView>
  </sheetViews>
  <sheetFormatPr defaultRowHeight="15" x14ac:dyDescent="0.25"/>
  <cols>
    <col min="1" max="1" width="15.5703125" bestFit="1" customWidth="1"/>
    <col min="2" max="2" width="13.7109375" customWidth="1"/>
    <col min="3" max="3" width="16" style="23" bestFit="1" customWidth="1"/>
    <col min="4" max="4" width="6.5703125" bestFit="1" customWidth="1"/>
    <col min="5" max="5" width="10.140625" bestFit="1" customWidth="1"/>
    <col min="6" max="6" width="7.28515625" bestFit="1" customWidth="1"/>
    <col min="7" max="7" width="16.42578125" style="8" bestFit="1" customWidth="1"/>
    <col min="8" max="8" width="19.42578125" customWidth="1"/>
    <col min="9" max="9" width="19.85546875" bestFit="1" customWidth="1"/>
    <col min="10" max="10" width="19.85546875" customWidth="1"/>
    <col min="11" max="11" width="20.28515625" bestFit="1" customWidth="1"/>
    <col min="12" max="13" width="24.7109375" customWidth="1"/>
    <col min="14" max="14" width="15" customWidth="1"/>
    <col min="15" max="15" width="17.28515625" bestFit="1" customWidth="1"/>
    <col min="16" max="16" width="12" style="17" bestFit="1" customWidth="1"/>
    <col min="17" max="17" width="7.85546875" style="18" bestFit="1" customWidth="1"/>
    <col min="18" max="18" width="8.28515625" style="18" bestFit="1" customWidth="1"/>
  </cols>
  <sheetData>
    <row r="1" spans="1:18" s="4" customFormat="1" x14ac:dyDescent="0.25">
      <c r="A1" s="4" t="s">
        <v>0</v>
      </c>
      <c r="B1" s="4" t="s">
        <v>1</v>
      </c>
      <c r="C1" s="22" t="s">
        <v>176</v>
      </c>
      <c r="D1" s="4" t="s">
        <v>2</v>
      </c>
      <c r="E1" s="4" t="s">
        <v>3</v>
      </c>
      <c r="F1" s="4" t="s">
        <v>4</v>
      </c>
      <c r="G1" s="4" t="s">
        <v>5</v>
      </c>
      <c r="H1" s="7" t="s">
        <v>6</v>
      </c>
      <c r="I1" s="4" t="s">
        <v>7</v>
      </c>
      <c r="J1" s="4" t="s">
        <v>8</v>
      </c>
      <c r="K1" s="4" t="s">
        <v>9</v>
      </c>
      <c r="L1" s="21" t="s">
        <v>167</v>
      </c>
      <c r="M1" s="21" t="s">
        <v>172</v>
      </c>
      <c r="N1" s="21" t="s">
        <v>173</v>
      </c>
      <c r="O1" s="4" t="s">
        <v>13</v>
      </c>
      <c r="P1" s="4" t="s">
        <v>161</v>
      </c>
      <c r="Q1" s="4" t="s">
        <v>162</v>
      </c>
      <c r="R1" s="4" t="s">
        <v>160</v>
      </c>
    </row>
    <row r="2" spans="1:18" x14ac:dyDescent="0.25">
      <c r="A2" s="15">
        <v>261695</v>
      </c>
      <c r="B2" s="1">
        <v>44531</v>
      </c>
      <c r="C2" s="23" cm="1">
        <f t="array" ref="C2">WeekOfMonth(B2)</f>
        <v>1</v>
      </c>
      <c r="D2">
        <v>1</v>
      </c>
      <c r="E2" t="s">
        <v>20</v>
      </c>
      <c r="F2">
        <v>2021</v>
      </c>
      <c r="G2">
        <v>39</v>
      </c>
      <c r="H2" s="8" t="s">
        <v>21</v>
      </c>
      <c r="I2" t="s">
        <v>22</v>
      </c>
      <c r="J2" t="s">
        <v>23</v>
      </c>
      <c r="K2" t="s">
        <v>24</v>
      </c>
      <c r="L2" t="s">
        <v>168</v>
      </c>
      <c r="M2" t="s">
        <v>174</v>
      </c>
      <c r="N2">
        <v>46</v>
      </c>
      <c r="O2">
        <v>4</v>
      </c>
      <c r="P2">
        <v>5008</v>
      </c>
      <c r="Q2">
        <v>9180</v>
      </c>
      <c r="R2">
        <v>4172</v>
      </c>
    </row>
    <row r="3" spans="1:18" x14ac:dyDescent="0.25">
      <c r="A3" s="15">
        <v>261695</v>
      </c>
      <c r="B3" s="1">
        <v>44531</v>
      </c>
      <c r="C3" s="23" cm="1">
        <f t="array" ref="C3">WeekOfMonth(B3)</f>
        <v>1</v>
      </c>
      <c r="D3">
        <v>1</v>
      </c>
      <c r="E3" t="s">
        <v>20</v>
      </c>
      <c r="F3">
        <v>2021</v>
      </c>
      <c r="G3">
        <v>44</v>
      </c>
      <c r="H3" s="8" t="s">
        <v>21</v>
      </c>
      <c r="I3" t="s">
        <v>28</v>
      </c>
      <c r="J3" t="s">
        <v>29</v>
      </c>
      <c r="K3" t="s">
        <v>30</v>
      </c>
      <c r="L3" t="s">
        <v>168</v>
      </c>
      <c r="M3" t="s">
        <v>175</v>
      </c>
      <c r="N3">
        <v>42</v>
      </c>
      <c r="O3">
        <v>1</v>
      </c>
      <c r="P3">
        <v>1266</v>
      </c>
      <c r="Q3">
        <v>2320</v>
      </c>
      <c r="R3">
        <v>1054</v>
      </c>
    </row>
    <row r="4" spans="1:18" x14ac:dyDescent="0.25">
      <c r="A4" s="15">
        <v>261697</v>
      </c>
      <c r="B4" s="1">
        <v>44532</v>
      </c>
      <c r="C4" s="23" cm="1">
        <f t="array" ref="C4">WeekOfMonth(B4)</f>
        <v>1</v>
      </c>
      <c r="D4">
        <v>2</v>
      </c>
      <c r="E4" t="s">
        <v>20</v>
      </c>
      <c r="F4">
        <v>2021</v>
      </c>
      <c r="G4">
        <v>37</v>
      </c>
      <c r="H4" s="8" t="s">
        <v>21</v>
      </c>
      <c r="I4" t="s">
        <v>28</v>
      </c>
      <c r="J4" t="s">
        <v>23</v>
      </c>
      <c r="K4" t="s">
        <v>24</v>
      </c>
      <c r="L4" t="s">
        <v>169</v>
      </c>
      <c r="M4" t="s">
        <v>175</v>
      </c>
      <c r="N4">
        <v>46</v>
      </c>
      <c r="O4">
        <v>2</v>
      </c>
      <c r="P4">
        <v>840</v>
      </c>
      <c r="Q4">
        <v>1538</v>
      </c>
      <c r="R4">
        <v>698</v>
      </c>
    </row>
    <row r="5" spans="1:18" x14ac:dyDescent="0.25">
      <c r="A5" s="15">
        <v>261698</v>
      </c>
      <c r="B5" s="1">
        <v>44532</v>
      </c>
      <c r="C5" s="23" cm="1">
        <f t="array" ref="C5">WeekOfMonth(B5)</f>
        <v>1</v>
      </c>
      <c r="D5">
        <v>2</v>
      </c>
      <c r="E5" t="s">
        <v>20</v>
      </c>
      <c r="F5">
        <v>2021</v>
      </c>
      <c r="G5">
        <v>31</v>
      </c>
      <c r="H5" s="8" t="s">
        <v>36</v>
      </c>
      <c r="I5" t="s">
        <v>22</v>
      </c>
      <c r="J5" t="s">
        <v>37</v>
      </c>
      <c r="K5" t="s">
        <v>38</v>
      </c>
      <c r="L5" t="s">
        <v>169</v>
      </c>
      <c r="M5" t="s">
        <v>175</v>
      </c>
      <c r="N5">
        <v>42</v>
      </c>
      <c r="O5">
        <v>1</v>
      </c>
      <c r="P5">
        <v>420</v>
      </c>
      <c r="Q5">
        <v>769</v>
      </c>
      <c r="R5">
        <v>349</v>
      </c>
    </row>
    <row r="6" spans="1:18" x14ac:dyDescent="0.25">
      <c r="A6" s="3">
        <v>261699</v>
      </c>
      <c r="B6" s="1">
        <v>44533</v>
      </c>
      <c r="C6" s="23" cm="1">
        <f t="array" ref="C6">WeekOfMonth(B6)</f>
        <v>1</v>
      </c>
      <c r="D6">
        <v>3</v>
      </c>
      <c r="E6" t="s">
        <v>20</v>
      </c>
      <c r="F6">
        <v>2021</v>
      </c>
      <c r="G6">
        <v>37</v>
      </c>
      <c r="H6" s="8" t="s">
        <v>21</v>
      </c>
      <c r="I6" t="s">
        <v>22</v>
      </c>
      <c r="J6" t="s">
        <v>23</v>
      </c>
      <c r="K6" t="s">
        <v>24</v>
      </c>
      <c r="L6" t="s">
        <v>168</v>
      </c>
      <c r="M6" t="s">
        <v>174</v>
      </c>
      <c r="N6">
        <v>46</v>
      </c>
      <c r="O6">
        <v>2</v>
      </c>
      <c r="P6">
        <v>2504</v>
      </c>
      <c r="Q6">
        <v>4590</v>
      </c>
      <c r="R6">
        <v>2086</v>
      </c>
    </row>
    <row r="7" spans="1:18" ht="13.5" customHeight="1" x14ac:dyDescent="0.25">
      <c r="A7" s="3">
        <v>261700</v>
      </c>
      <c r="B7" s="1">
        <v>44533</v>
      </c>
      <c r="C7" s="23" cm="1">
        <f t="array" ref="C7">WeekOfMonth(B7)</f>
        <v>1</v>
      </c>
      <c r="D7">
        <v>3</v>
      </c>
      <c r="E7" t="s">
        <v>20</v>
      </c>
      <c r="F7">
        <v>2021</v>
      </c>
      <c r="G7">
        <v>24</v>
      </c>
      <c r="H7" s="8" t="s">
        <v>43</v>
      </c>
      <c r="I7" t="s">
        <v>22</v>
      </c>
      <c r="J7" t="s">
        <v>29</v>
      </c>
      <c r="K7" t="s">
        <v>30</v>
      </c>
      <c r="L7" t="s">
        <v>168</v>
      </c>
      <c r="M7" t="s">
        <v>174</v>
      </c>
      <c r="N7">
        <v>38</v>
      </c>
      <c r="O7">
        <v>1</v>
      </c>
      <c r="P7">
        <v>1252</v>
      </c>
      <c r="Q7">
        <v>2295</v>
      </c>
      <c r="R7">
        <v>1043</v>
      </c>
    </row>
    <row r="8" spans="1:18" x14ac:dyDescent="0.25">
      <c r="A8" s="3">
        <v>261701</v>
      </c>
      <c r="B8" s="1">
        <v>44533</v>
      </c>
      <c r="C8" s="23" cm="1">
        <f t="array" ref="C8">WeekOfMonth(B8)</f>
        <v>1</v>
      </c>
      <c r="D8">
        <v>3</v>
      </c>
      <c r="E8" t="s">
        <v>20</v>
      </c>
      <c r="F8">
        <v>2021</v>
      </c>
      <c r="G8">
        <v>37</v>
      </c>
      <c r="H8" s="8" t="s">
        <v>21</v>
      </c>
      <c r="I8" t="s">
        <v>28</v>
      </c>
      <c r="J8" t="s">
        <v>23</v>
      </c>
      <c r="K8" t="s">
        <v>47</v>
      </c>
      <c r="L8" t="s">
        <v>168</v>
      </c>
      <c r="M8" t="s">
        <v>174</v>
      </c>
      <c r="N8">
        <v>46</v>
      </c>
      <c r="O8">
        <v>1</v>
      </c>
      <c r="P8">
        <v>1252</v>
      </c>
      <c r="Q8">
        <v>2295</v>
      </c>
      <c r="R8">
        <v>1043</v>
      </c>
    </row>
    <row r="9" spans="1:18" s="9" customFormat="1" x14ac:dyDescent="0.25">
      <c r="A9" s="12">
        <v>261701</v>
      </c>
      <c r="B9" s="13">
        <v>44533</v>
      </c>
      <c r="C9" s="24" cm="1">
        <f t="array" ref="C9">WeekOfMonth(B9)</f>
        <v>1</v>
      </c>
      <c r="D9" s="9">
        <v>3</v>
      </c>
      <c r="E9" s="9" t="s">
        <v>20</v>
      </c>
      <c r="F9" s="9">
        <v>2021</v>
      </c>
      <c r="G9" s="9">
        <v>37</v>
      </c>
      <c r="H9" s="14" t="s">
        <v>21</v>
      </c>
      <c r="I9" s="9" t="s">
        <v>28</v>
      </c>
      <c r="J9" s="9" t="s">
        <v>23</v>
      </c>
      <c r="K9" s="9" t="s">
        <v>47</v>
      </c>
      <c r="L9" s="9" t="s">
        <v>168</v>
      </c>
      <c r="M9" s="9" t="s">
        <v>174</v>
      </c>
      <c r="N9" s="9">
        <v>46</v>
      </c>
      <c r="O9" s="9">
        <v>1</v>
      </c>
      <c r="P9" s="9">
        <v>1252</v>
      </c>
      <c r="Q9" s="9">
        <v>2295</v>
      </c>
      <c r="R9" s="9">
        <v>1043</v>
      </c>
    </row>
    <row r="10" spans="1:18" x14ac:dyDescent="0.25">
      <c r="A10" s="3">
        <v>261702</v>
      </c>
      <c r="B10" s="1">
        <v>44534</v>
      </c>
      <c r="C10" s="23" cm="1">
        <f t="array" ref="C10">WeekOfMonth(B10)</f>
        <v>1</v>
      </c>
      <c r="D10">
        <v>4</v>
      </c>
      <c r="E10" t="s">
        <v>20</v>
      </c>
      <c r="F10">
        <v>2021</v>
      </c>
      <c r="G10">
        <v>31</v>
      </c>
      <c r="H10" s="8" t="s">
        <v>36</v>
      </c>
      <c r="I10" t="s">
        <v>22</v>
      </c>
      <c r="J10" t="s">
        <v>37</v>
      </c>
      <c r="K10" t="s">
        <v>38</v>
      </c>
      <c r="L10" t="s">
        <v>169</v>
      </c>
      <c r="M10" t="s">
        <v>175</v>
      </c>
      <c r="N10">
        <v>42</v>
      </c>
      <c r="O10">
        <v>4</v>
      </c>
      <c r="P10">
        <v>1680</v>
      </c>
      <c r="Q10">
        <v>3076</v>
      </c>
      <c r="R10">
        <v>1396</v>
      </c>
    </row>
    <row r="11" spans="1:18" x14ac:dyDescent="0.25">
      <c r="A11" s="3">
        <v>261703</v>
      </c>
      <c r="B11" s="1">
        <v>44535</v>
      </c>
      <c r="C11" s="23" cm="1">
        <f t="array" ref="C11">WeekOfMonth(B11)</f>
        <v>1</v>
      </c>
      <c r="D11">
        <v>5</v>
      </c>
      <c r="E11" t="s">
        <v>20</v>
      </c>
      <c r="F11">
        <v>2021</v>
      </c>
      <c r="G11">
        <v>39</v>
      </c>
      <c r="H11" s="8" t="s">
        <v>21</v>
      </c>
      <c r="I11" t="s">
        <v>22</v>
      </c>
      <c r="J11" t="s">
        <v>23</v>
      </c>
      <c r="K11" t="s">
        <v>24</v>
      </c>
      <c r="L11" t="s">
        <v>168</v>
      </c>
      <c r="M11" t="s">
        <v>174</v>
      </c>
      <c r="N11">
        <v>46</v>
      </c>
      <c r="O11">
        <v>4</v>
      </c>
      <c r="P11">
        <v>5008</v>
      </c>
      <c r="Q11">
        <v>9180</v>
      </c>
      <c r="R11">
        <v>4172</v>
      </c>
    </row>
    <row r="12" spans="1:18" x14ac:dyDescent="0.25">
      <c r="A12" s="3">
        <v>261704</v>
      </c>
      <c r="B12" s="1">
        <v>44535</v>
      </c>
      <c r="C12" s="23" cm="1">
        <f t="array" ref="C12">WeekOfMonth(B12)</f>
        <v>1</v>
      </c>
      <c r="D12">
        <v>5</v>
      </c>
      <c r="E12" t="s">
        <v>20</v>
      </c>
      <c r="F12">
        <v>2021</v>
      </c>
      <c r="G12">
        <v>42</v>
      </c>
      <c r="H12" s="8" t="s">
        <v>21</v>
      </c>
      <c r="I12" t="s">
        <v>28</v>
      </c>
      <c r="J12" t="s">
        <v>51</v>
      </c>
      <c r="K12" t="s">
        <v>52</v>
      </c>
      <c r="L12" t="s">
        <v>168</v>
      </c>
      <c r="M12" t="s">
        <v>174</v>
      </c>
      <c r="N12">
        <v>38</v>
      </c>
      <c r="O12">
        <v>4</v>
      </c>
      <c r="P12">
        <v>5008</v>
      </c>
      <c r="Q12">
        <v>9180</v>
      </c>
      <c r="R12">
        <v>4172</v>
      </c>
    </row>
    <row r="13" spans="1:18" x14ac:dyDescent="0.25">
      <c r="A13" s="3">
        <v>261705</v>
      </c>
      <c r="B13" s="1">
        <v>44535</v>
      </c>
      <c r="C13" s="23" cm="1">
        <f t="array" ref="C13">WeekOfMonth(B13)</f>
        <v>1</v>
      </c>
      <c r="D13">
        <v>5</v>
      </c>
      <c r="E13" t="s">
        <v>20</v>
      </c>
      <c r="F13">
        <v>2021</v>
      </c>
      <c r="G13">
        <v>35</v>
      </c>
      <c r="H13" s="8" t="s">
        <v>21</v>
      </c>
      <c r="I13" t="s">
        <v>22</v>
      </c>
      <c r="J13" t="s">
        <v>37</v>
      </c>
      <c r="K13" t="s">
        <v>54</v>
      </c>
      <c r="L13" t="s">
        <v>168</v>
      </c>
      <c r="M13" t="s">
        <v>175</v>
      </c>
      <c r="N13">
        <v>38</v>
      </c>
      <c r="O13">
        <v>1</v>
      </c>
      <c r="P13">
        <v>1266</v>
      </c>
      <c r="Q13">
        <v>2320</v>
      </c>
      <c r="R13">
        <v>1054</v>
      </c>
    </row>
    <row r="14" spans="1:18" x14ac:dyDescent="0.25">
      <c r="A14" s="3">
        <v>261706</v>
      </c>
      <c r="B14" s="1">
        <v>44535</v>
      </c>
      <c r="C14" s="23" cm="1">
        <f t="array" ref="C14">WeekOfMonth(B14)</f>
        <v>1</v>
      </c>
      <c r="D14">
        <v>5</v>
      </c>
      <c r="E14" t="s">
        <v>20</v>
      </c>
      <c r="F14">
        <v>2021</v>
      </c>
      <c r="G14">
        <v>37</v>
      </c>
      <c r="H14" s="8" t="s">
        <v>21</v>
      </c>
      <c r="I14" t="s">
        <v>22</v>
      </c>
      <c r="J14" t="s">
        <v>23</v>
      </c>
      <c r="K14" t="s">
        <v>24</v>
      </c>
      <c r="L14" t="s">
        <v>168</v>
      </c>
      <c r="M14" t="s">
        <v>174</v>
      </c>
      <c r="N14">
        <v>46</v>
      </c>
      <c r="O14">
        <v>1</v>
      </c>
      <c r="P14">
        <v>1252</v>
      </c>
      <c r="Q14">
        <v>2295</v>
      </c>
      <c r="R14">
        <v>1043</v>
      </c>
    </row>
    <row r="15" spans="1:18" x14ac:dyDescent="0.25">
      <c r="A15" s="3">
        <v>261707</v>
      </c>
      <c r="B15" s="1">
        <v>44536</v>
      </c>
      <c r="C15" s="23" cm="1">
        <f t="array" ref="C15">WeekOfMonth(B15)</f>
        <v>1</v>
      </c>
      <c r="D15">
        <v>6</v>
      </c>
      <c r="E15" t="s">
        <v>20</v>
      </c>
      <c r="F15">
        <v>2021</v>
      </c>
      <c r="G15">
        <v>23</v>
      </c>
      <c r="H15" s="8" t="s">
        <v>43</v>
      </c>
      <c r="I15" t="s">
        <v>28</v>
      </c>
      <c r="J15" t="s">
        <v>29</v>
      </c>
      <c r="K15" t="s">
        <v>30</v>
      </c>
      <c r="L15" t="s">
        <v>169</v>
      </c>
      <c r="M15" t="s">
        <v>175</v>
      </c>
      <c r="N15">
        <v>46</v>
      </c>
      <c r="O15">
        <v>3</v>
      </c>
      <c r="P15">
        <v>1260</v>
      </c>
      <c r="Q15">
        <v>2307</v>
      </c>
      <c r="R15">
        <v>1047</v>
      </c>
    </row>
    <row r="16" spans="1:18" x14ac:dyDescent="0.25">
      <c r="A16" s="3">
        <v>261708</v>
      </c>
      <c r="B16" s="1">
        <v>44536</v>
      </c>
      <c r="C16" s="23" cm="1">
        <f t="array" ref="C16">WeekOfMonth(B16)</f>
        <v>1</v>
      </c>
      <c r="D16">
        <v>6</v>
      </c>
      <c r="E16" t="s">
        <v>20</v>
      </c>
      <c r="F16">
        <v>2021</v>
      </c>
      <c r="G16">
        <v>27</v>
      </c>
      <c r="H16" s="8" t="s">
        <v>36</v>
      </c>
      <c r="I16" t="s">
        <v>28</v>
      </c>
      <c r="J16" t="s">
        <v>59</v>
      </c>
      <c r="K16" t="s">
        <v>60</v>
      </c>
      <c r="L16" t="s">
        <v>168</v>
      </c>
      <c r="M16" t="s">
        <v>174</v>
      </c>
      <c r="N16">
        <v>46</v>
      </c>
      <c r="O16">
        <v>1</v>
      </c>
      <c r="P16">
        <v>1252</v>
      </c>
      <c r="Q16">
        <v>2295</v>
      </c>
      <c r="R16">
        <v>1043</v>
      </c>
    </row>
    <row r="17" spans="1:18" x14ac:dyDescent="0.25">
      <c r="A17" s="3">
        <v>261709</v>
      </c>
      <c r="B17" s="1">
        <v>44536</v>
      </c>
      <c r="C17" s="23" cm="1">
        <f t="array" ref="C17">WeekOfMonth(B17)</f>
        <v>1</v>
      </c>
      <c r="D17">
        <v>6</v>
      </c>
      <c r="E17" t="s">
        <v>20</v>
      </c>
      <c r="F17">
        <v>2021</v>
      </c>
      <c r="G17">
        <v>36</v>
      </c>
      <c r="H17" s="8" t="s">
        <v>21</v>
      </c>
      <c r="I17" t="s">
        <v>28</v>
      </c>
      <c r="J17" t="s">
        <v>37</v>
      </c>
      <c r="K17" t="s">
        <v>38</v>
      </c>
      <c r="L17" t="s">
        <v>168</v>
      </c>
      <c r="M17" t="s">
        <v>174</v>
      </c>
      <c r="N17">
        <v>42</v>
      </c>
      <c r="O17">
        <v>1</v>
      </c>
      <c r="P17">
        <v>1252</v>
      </c>
      <c r="Q17">
        <v>2295</v>
      </c>
      <c r="R17">
        <v>1043</v>
      </c>
    </row>
    <row r="18" spans="1:18" x14ac:dyDescent="0.25">
      <c r="A18" s="3">
        <v>261710</v>
      </c>
      <c r="B18" s="1">
        <v>44536</v>
      </c>
      <c r="C18" s="23" cm="1">
        <f t="array" ref="C18">WeekOfMonth(B18)</f>
        <v>1</v>
      </c>
      <c r="D18">
        <v>6</v>
      </c>
      <c r="E18" t="s">
        <v>20</v>
      </c>
      <c r="F18">
        <v>2021</v>
      </c>
      <c r="G18">
        <v>47</v>
      </c>
      <c r="H18" s="8" t="s">
        <v>21</v>
      </c>
      <c r="I18" t="s">
        <v>28</v>
      </c>
      <c r="J18" t="s">
        <v>29</v>
      </c>
      <c r="K18" t="s">
        <v>30</v>
      </c>
      <c r="L18" t="s">
        <v>168</v>
      </c>
      <c r="M18" t="s">
        <v>175</v>
      </c>
      <c r="N18">
        <v>38</v>
      </c>
      <c r="O18">
        <v>1</v>
      </c>
      <c r="P18">
        <v>1266</v>
      </c>
      <c r="Q18">
        <v>2320</v>
      </c>
      <c r="R18">
        <v>1054</v>
      </c>
    </row>
    <row r="19" spans="1:18" x14ac:dyDescent="0.25">
      <c r="A19" s="3">
        <v>261711</v>
      </c>
      <c r="B19" s="1">
        <v>44537</v>
      </c>
      <c r="C19" s="23" cm="1">
        <f t="array" ref="C19">WeekOfMonth(B19)</f>
        <v>1</v>
      </c>
      <c r="D19">
        <v>7</v>
      </c>
      <c r="E19" t="s">
        <v>20</v>
      </c>
      <c r="F19">
        <v>2021</v>
      </c>
      <c r="G19">
        <v>30</v>
      </c>
      <c r="H19" s="8" t="s">
        <v>36</v>
      </c>
      <c r="I19" t="s">
        <v>28</v>
      </c>
      <c r="J19" t="s">
        <v>23</v>
      </c>
      <c r="K19" t="s">
        <v>24</v>
      </c>
      <c r="L19" t="s">
        <v>169</v>
      </c>
      <c r="M19" t="s">
        <v>175</v>
      </c>
      <c r="N19">
        <v>38</v>
      </c>
      <c r="O19">
        <v>4</v>
      </c>
      <c r="P19">
        <v>1680</v>
      </c>
      <c r="Q19">
        <v>3076</v>
      </c>
      <c r="R19">
        <v>1396</v>
      </c>
    </row>
    <row r="20" spans="1:18" x14ac:dyDescent="0.25">
      <c r="A20" s="3">
        <v>261712</v>
      </c>
      <c r="B20" s="1">
        <v>44537</v>
      </c>
      <c r="C20" s="23" cm="1">
        <f t="array" ref="C20">WeekOfMonth(B20)</f>
        <v>1</v>
      </c>
      <c r="D20">
        <v>7</v>
      </c>
      <c r="E20" t="s">
        <v>20</v>
      </c>
      <c r="F20">
        <v>2021</v>
      </c>
      <c r="G20">
        <v>38</v>
      </c>
      <c r="H20" s="8" t="s">
        <v>21</v>
      </c>
      <c r="I20" t="s">
        <v>28</v>
      </c>
      <c r="J20" t="s">
        <v>23</v>
      </c>
      <c r="K20" t="s">
        <v>24</v>
      </c>
      <c r="L20" t="s">
        <v>168</v>
      </c>
      <c r="M20" t="s">
        <v>175</v>
      </c>
      <c r="N20">
        <v>42</v>
      </c>
      <c r="O20">
        <v>2</v>
      </c>
      <c r="P20">
        <v>2532</v>
      </c>
      <c r="Q20">
        <v>4640</v>
      </c>
      <c r="R20">
        <v>2108</v>
      </c>
    </row>
    <row r="21" spans="1:18" x14ac:dyDescent="0.25">
      <c r="A21" s="3">
        <v>261713</v>
      </c>
      <c r="B21" s="1">
        <v>44538</v>
      </c>
      <c r="C21" s="23" cm="1">
        <f t="array" ref="C21">WeekOfMonth(B21)</f>
        <v>2</v>
      </c>
      <c r="D21">
        <v>8</v>
      </c>
      <c r="E21" t="s">
        <v>20</v>
      </c>
      <c r="F21">
        <v>2021</v>
      </c>
      <c r="G21">
        <v>19</v>
      </c>
      <c r="H21" s="8" t="s">
        <v>43</v>
      </c>
      <c r="I21" t="s">
        <v>22</v>
      </c>
      <c r="J21" t="s">
        <v>37</v>
      </c>
      <c r="K21" t="s">
        <v>38</v>
      </c>
      <c r="L21" t="s">
        <v>170</v>
      </c>
      <c r="M21" t="s">
        <v>175</v>
      </c>
      <c r="N21">
        <v>42</v>
      </c>
      <c r="O21">
        <v>4</v>
      </c>
      <c r="P21">
        <v>1232</v>
      </c>
      <c r="Q21">
        <v>2260</v>
      </c>
      <c r="R21">
        <v>1028</v>
      </c>
    </row>
    <row r="22" spans="1:18" x14ac:dyDescent="0.25">
      <c r="A22" s="3">
        <v>261714</v>
      </c>
      <c r="B22" s="1">
        <v>44538</v>
      </c>
      <c r="C22" s="23" cm="1">
        <f t="array" ref="C22">WeekOfMonth(B22)</f>
        <v>2</v>
      </c>
      <c r="D22">
        <v>8</v>
      </c>
      <c r="E22" t="s">
        <v>20</v>
      </c>
      <c r="F22">
        <v>2021</v>
      </c>
      <c r="G22">
        <v>30</v>
      </c>
      <c r="H22" s="8" t="s">
        <v>36</v>
      </c>
      <c r="I22" t="s">
        <v>22</v>
      </c>
      <c r="J22" t="s">
        <v>59</v>
      </c>
      <c r="K22" t="s">
        <v>60</v>
      </c>
      <c r="L22" t="s">
        <v>168</v>
      </c>
      <c r="M22" t="s">
        <v>175</v>
      </c>
      <c r="N22">
        <v>38</v>
      </c>
      <c r="O22">
        <v>4</v>
      </c>
      <c r="P22">
        <v>5064</v>
      </c>
      <c r="Q22">
        <v>9280</v>
      </c>
      <c r="R22">
        <v>4216</v>
      </c>
    </row>
    <row r="23" spans="1:18" x14ac:dyDescent="0.25">
      <c r="A23" s="3">
        <v>261717</v>
      </c>
      <c r="B23" s="1">
        <v>44539</v>
      </c>
      <c r="C23" s="23" cm="1">
        <f t="array" ref="C23">WeekOfMonth(B23)</f>
        <v>2</v>
      </c>
      <c r="D23">
        <v>9</v>
      </c>
      <c r="E23" t="s">
        <v>20</v>
      </c>
      <c r="F23">
        <v>2021</v>
      </c>
      <c r="G23">
        <v>33</v>
      </c>
      <c r="H23" s="8" t="s">
        <v>36</v>
      </c>
      <c r="I23" t="s">
        <v>22</v>
      </c>
      <c r="J23" t="s">
        <v>37</v>
      </c>
      <c r="K23" t="s">
        <v>76</v>
      </c>
      <c r="L23" t="s">
        <v>171</v>
      </c>
      <c r="M23" t="s">
        <v>174</v>
      </c>
      <c r="N23">
        <v>38</v>
      </c>
      <c r="O23">
        <v>2</v>
      </c>
      <c r="P23">
        <v>3796</v>
      </c>
      <c r="Q23">
        <v>6750</v>
      </c>
      <c r="R23">
        <v>2954</v>
      </c>
    </row>
    <row r="24" spans="1:18" x14ac:dyDescent="0.25">
      <c r="A24" s="3">
        <v>261718</v>
      </c>
      <c r="B24" s="1">
        <v>44539</v>
      </c>
      <c r="C24" s="23" cm="1">
        <f t="array" ref="C24">WeekOfMonth(B24)</f>
        <v>2</v>
      </c>
      <c r="D24">
        <v>9</v>
      </c>
      <c r="E24" t="s">
        <v>20</v>
      </c>
      <c r="F24">
        <v>2021</v>
      </c>
      <c r="G24">
        <v>41</v>
      </c>
      <c r="H24" s="8" t="s">
        <v>21</v>
      </c>
      <c r="I24" t="s">
        <v>22</v>
      </c>
      <c r="J24" t="s">
        <v>51</v>
      </c>
      <c r="K24" t="s">
        <v>79</v>
      </c>
      <c r="L24" t="s">
        <v>168</v>
      </c>
      <c r="M24" t="s">
        <v>175</v>
      </c>
      <c r="N24">
        <v>42</v>
      </c>
      <c r="O24">
        <v>1</v>
      </c>
      <c r="P24">
        <v>1266</v>
      </c>
      <c r="Q24">
        <v>2320</v>
      </c>
      <c r="R24">
        <v>1054</v>
      </c>
    </row>
    <row r="25" spans="1:18" x14ac:dyDescent="0.25">
      <c r="A25" s="3">
        <v>261719</v>
      </c>
      <c r="B25" s="1">
        <v>44540</v>
      </c>
      <c r="C25" s="23" cm="1">
        <f t="array" ref="C25">WeekOfMonth(B25)</f>
        <v>2</v>
      </c>
      <c r="D25">
        <v>10</v>
      </c>
      <c r="E25" t="s">
        <v>20</v>
      </c>
      <c r="F25">
        <v>2021</v>
      </c>
      <c r="G25">
        <v>34</v>
      </c>
      <c r="H25" s="8" t="s">
        <v>36</v>
      </c>
      <c r="I25" t="s">
        <v>22</v>
      </c>
      <c r="J25" t="s">
        <v>23</v>
      </c>
      <c r="K25" t="s">
        <v>24</v>
      </c>
      <c r="L25" t="s">
        <v>168</v>
      </c>
      <c r="M25" t="s">
        <v>174</v>
      </c>
      <c r="N25">
        <v>42</v>
      </c>
      <c r="O25">
        <v>2</v>
      </c>
      <c r="P25">
        <v>2504</v>
      </c>
      <c r="Q25">
        <v>4590</v>
      </c>
      <c r="R25">
        <v>2086</v>
      </c>
    </row>
    <row r="26" spans="1:18" x14ac:dyDescent="0.25">
      <c r="A26" s="3">
        <v>261720</v>
      </c>
      <c r="B26" s="1">
        <v>44540</v>
      </c>
      <c r="C26" s="23" cm="1">
        <f t="array" ref="C26">WeekOfMonth(B26)</f>
        <v>2</v>
      </c>
      <c r="D26">
        <v>10</v>
      </c>
      <c r="E26" t="s">
        <v>20</v>
      </c>
      <c r="F26">
        <v>2021</v>
      </c>
      <c r="G26">
        <v>40</v>
      </c>
      <c r="H26" s="8" t="s">
        <v>21</v>
      </c>
      <c r="I26" t="s">
        <v>28</v>
      </c>
      <c r="J26" t="s">
        <v>37</v>
      </c>
      <c r="K26" t="s">
        <v>38</v>
      </c>
      <c r="L26" t="s">
        <v>168</v>
      </c>
      <c r="M26" t="s">
        <v>174</v>
      </c>
      <c r="N26">
        <v>42</v>
      </c>
      <c r="O26">
        <v>2</v>
      </c>
      <c r="P26">
        <v>2504</v>
      </c>
      <c r="Q26">
        <v>4590</v>
      </c>
      <c r="R26">
        <v>2086</v>
      </c>
    </row>
    <row r="27" spans="1:18" x14ac:dyDescent="0.25">
      <c r="A27" s="3">
        <v>261721</v>
      </c>
      <c r="B27" s="1">
        <v>44540</v>
      </c>
      <c r="C27" s="23" cm="1">
        <f t="array" ref="C27">WeekOfMonth(B27)</f>
        <v>2</v>
      </c>
      <c r="D27">
        <v>10</v>
      </c>
      <c r="E27" t="s">
        <v>20</v>
      </c>
      <c r="F27">
        <v>2021</v>
      </c>
      <c r="G27">
        <v>26</v>
      </c>
      <c r="H27" s="8" t="s">
        <v>36</v>
      </c>
      <c r="I27" t="s">
        <v>28</v>
      </c>
      <c r="J27" t="s">
        <v>29</v>
      </c>
      <c r="K27" t="s">
        <v>30</v>
      </c>
      <c r="L27" t="s">
        <v>168</v>
      </c>
      <c r="M27" t="s">
        <v>174</v>
      </c>
      <c r="N27">
        <v>38</v>
      </c>
      <c r="O27">
        <v>1</v>
      </c>
      <c r="P27">
        <v>1252</v>
      </c>
      <c r="Q27">
        <v>2295</v>
      </c>
      <c r="R27">
        <v>1043</v>
      </c>
    </row>
    <row r="28" spans="1:18" x14ac:dyDescent="0.25">
      <c r="A28" s="3">
        <v>261722</v>
      </c>
      <c r="B28" s="1">
        <v>44540</v>
      </c>
      <c r="C28" s="23" cm="1">
        <f t="array" ref="C28">WeekOfMonth(B28)</f>
        <v>2</v>
      </c>
      <c r="D28">
        <v>10</v>
      </c>
      <c r="E28" t="s">
        <v>20</v>
      </c>
      <c r="F28">
        <v>2021</v>
      </c>
      <c r="G28">
        <v>34</v>
      </c>
      <c r="H28" s="8" t="s">
        <v>36</v>
      </c>
      <c r="I28" t="s">
        <v>28</v>
      </c>
      <c r="J28" t="s">
        <v>23</v>
      </c>
      <c r="K28" t="s">
        <v>24</v>
      </c>
      <c r="L28" t="s">
        <v>170</v>
      </c>
      <c r="M28" t="s">
        <v>174</v>
      </c>
      <c r="N28">
        <v>40</v>
      </c>
      <c r="O28">
        <v>1</v>
      </c>
      <c r="P28">
        <v>295</v>
      </c>
      <c r="Q28">
        <v>540</v>
      </c>
      <c r="R28">
        <v>245</v>
      </c>
    </row>
    <row r="29" spans="1:18" x14ac:dyDescent="0.25">
      <c r="A29" s="3">
        <v>261723</v>
      </c>
      <c r="B29" s="1">
        <v>44540</v>
      </c>
      <c r="C29" s="23" cm="1">
        <f t="array" ref="C29">WeekOfMonth(B29)</f>
        <v>2</v>
      </c>
      <c r="D29">
        <v>10</v>
      </c>
      <c r="E29" t="s">
        <v>20</v>
      </c>
      <c r="F29">
        <v>2021</v>
      </c>
      <c r="G29">
        <v>34</v>
      </c>
      <c r="H29" s="8" t="s">
        <v>36</v>
      </c>
      <c r="I29" t="s">
        <v>22</v>
      </c>
      <c r="J29" t="s">
        <v>23</v>
      </c>
      <c r="K29" t="s">
        <v>47</v>
      </c>
      <c r="L29" t="s">
        <v>171</v>
      </c>
      <c r="M29" t="s">
        <v>175</v>
      </c>
      <c r="N29">
        <v>44</v>
      </c>
      <c r="O29">
        <v>1</v>
      </c>
      <c r="P29">
        <v>1912</v>
      </c>
      <c r="Q29">
        <v>3400</v>
      </c>
      <c r="R29">
        <v>1488</v>
      </c>
    </row>
    <row r="30" spans="1:18" x14ac:dyDescent="0.25">
      <c r="A30" s="3">
        <v>261724</v>
      </c>
      <c r="B30" s="1">
        <v>44540</v>
      </c>
      <c r="C30" s="23" cm="1">
        <f t="array" ref="C30">WeekOfMonth(B30)</f>
        <v>2</v>
      </c>
      <c r="D30">
        <v>10</v>
      </c>
      <c r="E30" t="s">
        <v>20</v>
      </c>
      <c r="F30">
        <v>2021</v>
      </c>
      <c r="G30">
        <v>38</v>
      </c>
      <c r="H30" s="8" t="s">
        <v>21</v>
      </c>
      <c r="I30" t="s">
        <v>28</v>
      </c>
      <c r="J30" t="s">
        <v>37</v>
      </c>
      <c r="K30" t="s">
        <v>38</v>
      </c>
      <c r="L30" t="s">
        <v>168</v>
      </c>
      <c r="M30" t="s">
        <v>174</v>
      </c>
      <c r="N30">
        <v>38</v>
      </c>
      <c r="O30">
        <v>1</v>
      </c>
      <c r="P30">
        <v>1252</v>
      </c>
      <c r="Q30">
        <v>2295</v>
      </c>
      <c r="R30">
        <v>1043</v>
      </c>
    </row>
    <row r="31" spans="1:18" x14ac:dyDescent="0.25">
      <c r="A31" s="3">
        <v>261725</v>
      </c>
      <c r="B31" s="1">
        <v>44541</v>
      </c>
      <c r="C31" s="23" cm="1">
        <f t="array" ref="C31">WeekOfMonth(B31)</f>
        <v>2</v>
      </c>
      <c r="D31">
        <v>11</v>
      </c>
      <c r="E31" t="s">
        <v>20</v>
      </c>
      <c r="F31">
        <v>2021</v>
      </c>
      <c r="G31">
        <v>24</v>
      </c>
      <c r="H31" s="8" t="s">
        <v>43</v>
      </c>
      <c r="I31" t="s">
        <v>22</v>
      </c>
      <c r="J31" t="s">
        <v>89</v>
      </c>
      <c r="K31" t="s">
        <v>90</v>
      </c>
      <c r="L31" t="s">
        <v>168</v>
      </c>
      <c r="M31" t="s">
        <v>174</v>
      </c>
      <c r="N31">
        <v>38</v>
      </c>
      <c r="O31">
        <v>3</v>
      </c>
      <c r="P31">
        <v>3756</v>
      </c>
      <c r="Q31">
        <v>6885</v>
      </c>
      <c r="R31">
        <v>3129</v>
      </c>
    </row>
    <row r="32" spans="1:18" x14ac:dyDescent="0.25">
      <c r="A32" s="3">
        <v>261726</v>
      </c>
      <c r="B32" s="1">
        <v>44541</v>
      </c>
      <c r="C32" s="23" cm="1">
        <f t="array" ref="C32">WeekOfMonth(B32)</f>
        <v>2</v>
      </c>
      <c r="D32">
        <v>11</v>
      </c>
      <c r="E32" t="s">
        <v>20</v>
      </c>
      <c r="F32">
        <v>2021</v>
      </c>
      <c r="G32">
        <v>41</v>
      </c>
      <c r="H32" s="8" t="s">
        <v>21</v>
      </c>
      <c r="I32" t="s">
        <v>22</v>
      </c>
      <c r="J32" t="s">
        <v>37</v>
      </c>
      <c r="K32" t="s">
        <v>38</v>
      </c>
      <c r="L32" t="s">
        <v>169</v>
      </c>
      <c r="M32" t="s">
        <v>175</v>
      </c>
      <c r="N32">
        <v>38</v>
      </c>
      <c r="O32">
        <v>2</v>
      </c>
      <c r="P32">
        <v>840</v>
      </c>
      <c r="Q32">
        <v>1538</v>
      </c>
      <c r="R32">
        <v>698</v>
      </c>
    </row>
    <row r="33" spans="1:18" x14ac:dyDescent="0.25">
      <c r="A33" s="3">
        <v>261727</v>
      </c>
      <c r="B33" s="1">
        <v>44541</v>
      </c>
      <c r="C33" s="23" cm="1">
        <f t="array" ref="C33">WeekOfMonth(B33)</f>
        <v>2</v>
      </c>
      <c r="D33">
        <v>11</v>
      </c>
      <c r="E33" t="s">
        <v>20</v>
      </c>
      <c r="F33">
        <v>2021</v>
      </c>
      <c r="G33">
        <v>27</v>
      </c>
      <c r="H33" s="8" t="s">
        <v>36</v>
      </c>
      <c r="I33" t="s">
        <v>28</v>
      </c>
      <c r="J33" t="s">
        <v>59</v>
      </c>
      <c r="K33" t="s">
        <v>60</v>
      </c>
      <c r="L33" t="s">
        <v>168</v>
      </c>
      <c r="M33" t="s">
        <v>174</v>
      </c>
      <c r="N33">
        <v>46</v>
      </c>
      <c r="O33">
        <v>1</v>
      </c>
      <c r="P33">
        <v>1252</v>
      </c>
      <c r="Q33">
        <v>2295</v>
      </c>
      <c r="R33">
        <v>1043</v>
      </c>
    </row>
    <row r="34" spans="1:18" x14ac:dyDescent="0.25">
      <c r="A34" s="3">
        <v>261728</v>
      </c>
      <c r="B34" s="1">
        <v>44541</v>
      </c>
      <c r="C34" s="23" cm="1">
        <f t="array" ref="C34">WeekOfMonth(B34)</f>
        <v>2</v>
      </c>
      <c r="D34">
        <v>11</v>
      </c>
      <c r="E34" t="s">
        <v>20</v>
      </c>
      <c r="F34">
        <v>2021</v>
      </c>
      <c r="G34">
        <v>37</v>
      </c>
      <c r="H34" s="8" t="s">
        <v>21</v>
      </c>
      <c r="I34" t="s">
        <v>28</v>
      </c>
      <c r="J34" t="s">
        <v>23</v>
      </c>
      <c r="K34" t="s">
        <v>24</v>
      </c>
      <c r="L34" t="s">
        <v>169</v>
      </c>
      <c r="M34" t="s">
        <v>175</v>
      </c>
      <c r="N34">
        <v>46</v>
      </c>
      <c r="O34">
        <v>1</v>
      </c>
      <c r="P34">
        <v>420</v>
      </c>
      <c r="Q34">
        <v>769</v>
      </c>
      <c r="R34">
        <v>349</v>
      </c>
    </row>
    <row r="35" spans="1:18" x14ac:dyDescent="0.25">
      <c r="A35" s="3">
        <v>261729</v>
      </c>
      <c r="B35" s="1">
        <v>44541</v>
      </c>
      <c r="C35" s="23" cm="1">
        <f t="array" ref="C35">WeekOfMonth(B35)</f>
        <v>2</v>
      </c>
      <c r="D35">
        <v>11</v>
      </c>
      <c r="E35" t="s">
        <v>20</v>
      </c>
      <c r="F35">
        <v>2021</v>
      </c>
      <c r="G35">
        <v>38</v>
      </c>
      <c r="H35" s="8" t="s">
        <v>21</v>
      </c>
      <c r="I35" t="s">
        <v>22</v>
      </c>
      <c r="J35" t="s">
        <v>23</v>
      </c>
      <c r="K35" t="s">
        <v>24</v>
      </c>
      <c r="L35" t="s">
        <v>168</v>
      </c>
      <c r="M35" t="s">
        <v>175</v>
      </c>
      <c r="N35">
        <v>38</v>
      </c>
      <c r="O35">
        <v>1</v>
      </c>
      <c r="P35">
        <v>1266</v>
      </c>
      <c r="Q35">
        <v>2320</v>
      </c>
      <c r="R35">
        <v>1054</v>
      </c>
    </row>
    <row r="36" spans="1:18" x14ac:dyDescent="0.25">
      <c r="A36" s="3">
        <v>261730</v>
      </c>
      <c r="B36" s="1">
        <v>44542</v>
      </c>
      <c r="C36" s="23" cm="1">
        <f t="array" ref="C36">WeekOfMonth(B36)</f>
        <v>2</v>
      </c>
      <c r="D36">
        <v>12</v>
      </c>
      <c r="E36" t="s">
        <v>20</v>
      </c>
      <c r="F36">
        <v>2021</v>
      </c>
      <c r="G36">
        <v>36</v>
      </c>
      <c r="H36" s="8" t="s">
        <v>21</v>
      </c>
      <c r="I36" t="s">
        <v>22</v>
      </c>
      <c r="J36" t="s">
        <v>37</v>
      </c>
      <c r="K36" t="s">
        <v>38</v>
      </c>
      <c r="L36" t="s">
        <v>168</v>
      </c>
      <c r="M36" t="s">
        <v>175</v>
      </c>
      <c r="N36">
        <v>42</v>
      </c>
      <c r="O36">
        <v>4</v>
      </c>
      <c r="P36">
        <v>5064</v>
      </c>
      <c r="Q36">
        <v>9280</v>
      </c>
      <c r="R36">
        <v>4216</v>
      </c>
    </row>
    <row r="37" spans="1:18" x14ac:dyDescent="0.25">
      <c r="A37" s="3">
        <v>261731</v>
      </c>
      <c r="B37" s="1">
        <v>44542</v>
      </c>
      <c r="C37" s="23" cm="1">
        <f t="array" ref="C37">WeekOfMonth(B37)</f>
        <v>2</v>
      </c>
      <c r="D37">
        <v>12</v>
      </c>
      <c r="E37" t="s">
        <v>20</v>
      </c>
      <c r="F37">
        <v>2021</v>
      </c>
      <c r="G37">
        <v>37</v>
      </c>
      <c r="H37" s="8" t="s">
        <v>21</v>
      </c>
      <c r="I37" t="s">
        <v>28</v>
      </c>
      <c r="J37" t="s">
        <v>23</v>
      </c>
      <c r="K37" t="s">
        <v>24</v>
      </c>
      <c r="L37" t="s">
        <v>169</v>
      </c>
      <c r="M37" t="s">
        <v>175</v>
      </c>
      <c r="N37">
        <v>46</v>
      </c>
      <c r="O37">
        <v>4</v>
      </c>
      <c r="P37">
        <v>1680</v>
      </c>
      <c r="Q37">
        <v>3076</v>
      </c>
      <c r="R37">
        <v>1396</v>
      </c>
    </row>
    <row r="38" spans="1:18" x14ac:dyDescent="0.25">
      <c r="A38" s="3">
        <v>261732</v>
      </c>
      <c r="B38" s="1">
        <v>44542</v>
      </c>
      <c r="C38" s="23" cm="1">
        <f t="array" ref="C38">WeekOfMonth(B38)</f>
        <v>2</v>
      </c>
      <c r="D38">
        <v>12</v>
      </c>
      <c r="E38" t="s">
        <v>20</v>
      </c>
      <c r="F38">
        <v>2021</v>
      </c>
      <c r="G38">
        <v>34</v>
      </c>
      <c r="H38" s="8" t="s">
        <v>36</v>
      </c>
      <c r="I38" t="s">
        <v>28</v>
      </c>
      <c r="J38" t="s">
        <v>37</v>
      </c>
      <c r="K38" t="s">
        <v>38</v>
      </c>
      <c r="L38" t="s">
        <v>168</v>
      </c>
      <c r="M38" t="s">
        <v>174</v>
      </c>
      <c r="N38">
        <v>38</v>
      </c>
      <c r="O38">
        <v>2</v>
      </c>
      <c r="P38">
        <v>2504</v>
      </c>
      <c r="Q38">
        <v>4590</v>
      </c>
      <c r="R38">
        <v>2086</v>
      </c>
    </row>
    <row r="39" spans="1:18" x14ac:dyDescent="0.25">
      <c r="A39" s="3">
        <v>261733</v>
      </c>
      <c r="B39" s="1">
        <v>44542</v>
      </c>
      <c r="C39" s="23" cm="1">
        <f t="array" ref="C39">WeekOfMonth(B39)</f>
        <v>2</v>
      </c>
      <c r="D39">
        <v>12</v>
      </c>
      <c r="E39" t="s">
        <v>20</v>
      </c>
      <c r="F39">
        <v>2021</v>
      </c>
      <c r="G39">
        <v>35</v>
      </c>
      <c r="H39" s="8" t="s">
        <v>21</v>
      </c>
      <c r="I39" t="s">
        <v>22</v>
      </c>
      <c r="J39" t="s">
        <v>37</v>
      </c>
      <c r="K39" t="s">
        <v>76</v>
      </c>
      <c r="L39" t="s">
        <v>168</v>
      </c>
      <c r="M39" t="s">
        <v>175</v>
      </c>
      <c r="N39">
        <v>42</v>
      </c>
      <c r="O39">
        <v>1</v>
      </c>
      <c r="P39">
        <v>1266</v>
      </c>
      <c r="Q39">
        <v>2320</v>
      </c>
      <c r="R39">
        <v>1054</v>
      </c>
    </row>
    <row r="40" spans="1:18" x14ac:dyDescent="0.25">
      <c r="A40" s="3">
        <v>261734</v>
      </c>
      <c r="B40" s="1">
        <v>44542</v>
      </c>
      <c r="C40" s="23" cm="1">
        <f t="array" ref="C40">WeekOfMonth(B40)</f>
        <v>2</v>
      </c>
      <c r="D40">
        <v>12</v>
      </c>
      <c r="E40" t="s">
        <v>20</v>
      </c>
      <c r="F40">
        <v>2021</v>
      </c>
      <c r="G40">
        <v>38</v>
      </c>
      <c r="H40" s="8" t="s">
        <v>21</v>
      </c>
      <c r="I40" t="s">
        <v>22</v>
      </c>
      <c r="J40" t="s">
        <v>23</v>
      </c>
      <c r="K40" t="s">
        <v>47</v>
      </c>
      <c r="L40" t="s">
        <v>168</v>
      </c>
      <c r="M40" t="s">
        <v>175</v>
      </c>
      <c r="N40">
        <v>42</v>
      </c>
      <c r="O40">
        <v>1</v>
      </c>
      <c r="P40">
        <v>1266</v>
      </c>
      <c r="Q40">
        <v>2320</v>
      </c>
      <c r="R40">
        <v>1054</v>
      </c>
    </row>
    <row r="41" spans="1:18" x14ac:dyDescent="0.25">
      <c r="A41" s="3">
        <v>261735</v>
      </c>
      <c r="B41" s="1">
        <v>44543</v>
      </c>
      <c r="C41" s="23" cm="1">
        <f t="array" ref="C41">WeekOfMonth(B41)</f>
        <v>2</v>
      </c>
      <c r="D41">
        <v>13</v>
      </c>
      <c r="E41" t="s">
        <v>20</v>
      </c>
      <c r="F41">
        <v>2021</v>
      </c>
      <c r="G41">
        <v>32</v>
      </c>
      <c r="H41" s="8" t="s">
        <v>36</v>
      </c>
      <c r="I41" t="s">
        <v>22</v>
      </c>
      <c r="J41" t="s">
        <v>37</v>
      </c>
      <c r="K41" t="s">
        <v>54</v>
      </c>
      <c r="L41" t="s">
        <v>168</v>
      </c>
      <c r="M41" t="s">
        <v>175</v>
      </c>
      <c r="N41">
        <v>42</v>
      </c>
      <c r="O41">
        <v>3</v>
      </c>
      <c r="P41">
        <v>3798</v>
      </c>
      <c r="Q41">
        <v>6960</v>
      </c>
      <c r="R41">
        <v>3162</v>
      </c>
    </row>
    <row r="42" spans="1:18" x14ac:dyDescent="0.25">
      <c r="A42" s="3">
        <v>261736</v>
      </c>
      <c r="B42" s="1">
        <v>44543</v>
      </c>
      <c r="C42" s="23" cm="1">
        <f t="array" ref="C42">WeekOfMonth(B42)</f>
        <v>2</v>
      </c>
      <c r="D42">
        <v>13</v>
      </c>
      <c r="E42" t="s">
        <v>20</v>
      </c>
      <c r="F42">
        <v>2021</v>
      </c>
      <c r="G42">
        <v>40</v>
      </c>
      <c r="H42" s="8" t="s">
        <v>21</v>
      </c>
      <c r="I42" t="s">
        <v>22</v>
      </c>
      <c r="J42" t="s">
        <v>23</v>
      </c>
      <c r="K42" t="s">
        <v>24</v>
      </c>
      <c r="L42" t="s">
        <v>170</v>
      </c>
      <c r="M42" t="s">
        <v>175</v>
      </c>
      <c r="N42">
        <v>40</v>
      </c>
      <c r="O42">
        <v>1</v>
      </c>
      <c r="P42">
        <v>308</v>
      </c>
      <c r="Q42">
        <v>565</v>
      </c>
      <c r="R42">
        <v>257</v>
      </c>
    </row>
    <row r="43" spans="1:18" x14ac:dyDescent="0.25">
      <c r="A43" s="3">
        <v>261737</v>
      </c>
      <c r="B43" s="1">
        <v>44543</v>
      </c>
      <c r="C43" s="23" cm="1">
        <f t="array" ref="C43">WeekOfMonth(B43)</f>
        <v>2</v>
      </c>
      <c r="D43">
        <v>13</v>
      </c>
      <c r="E43" t="s">
        <v>20</v>
      </c>
      <c r="F43">
        <v>2021</v>
      </c>
      <c r="G43">
        <v>44</v>
      </c>
      <c r="H43" s="8" t="s">
        <v>21</v>
      </c>
      <c r="I43" t="s">
        <v>22</v>
      </c>
      <c r="J43" t="s">
        <v>29</v>
      </c>
      <c r="K43" t="s">
        <v>30</v>
      </c>
      <c r="L43" t="s">
        <v>168</v>
      </c>
      <c r="M43" t="s">
        <v>174</v>
      </c>
      <c r="N43">
        <v>38</v>
      </c>
      <c r="O43">
        <v>1</v>
      </c>
      <c r="P43">
        <v>1252</v>
      </c>
      <c r="Q43">
        <v>2295</v>
      </c>
      <c r="R43">
        <v>1043</v>
      </c>
    </row>
    <row r="44" spans="1:18" x14ac:dyDescent="0.25">
      <c r="A44" s="3">
        <v>261738</v>
      </c>
      <c r="B44" s="1">
        <v>44543</v>
      </c>
      <c r="C44" s="23" cm="1">
        <f t="array" ref="C44">WeekOfMonth(B44)</f>
        <v>2</v>
      </c>
      <c r="D44">
        <v>13</v>
      </c>
      <c r="E44" t="s">
        <v>20</v>
      </c>
      <c r="F44">
        <v>2021</v>
      </c>
      <c r="G44">
        <v>49</v>
      </c>
      <c r="H44" s="8" t="s">
        <v>21</v>
      </c>
      <c r="I44" t="s">
        <v>28</v>
      </c>
      <c r="J44" t="s">
        <v>29</v>
      </c>
      <c r="K44" t="s">
        <v>30</v>
      </c>
      <c r="L44" t="s">
        <v>168</v>
      </c>
      <c r="M44" t="s">
        <v>174</v>
      </c>
      <c r="N44">
        <v>38</v>
      </c>
      <c r="O44">
        <v>1</v>
      </c>
      <c r="P44">
        <v>1252</v>
      </c>
      <c r="Q44">
        <v>2295</v>
      </c>
      <c r="R44">
        <v>1043</v>
      </c>
    </row>
    <row r="45" spans="1:18" x14ac:dyDescent="0.25">
      <c r="A45" s="3">
        <v>261739</v>
      </c>
      <c r="B45" s="1">
        <v>44544</v>
      </c>
      <c r="C45" s="23" cm="1">
        <f t="array" ref="C45">WeekOfMonth(B45)</f>
        <v>2</v>
      </c>
      <c r="D45">
        <v>14</v>
      </c>
      <c r="E45" t="s">
        <v>20</v>
      </c>
      <c r="F45">
        <v>2021</v>
      </c>
      <c r="G45">
        <v>30</v>
      </c>
      <c r="H45" s="8" t="s">
        <v>36</v>
      </c>
      <c r="I45" t="s">
        <v>22</v>
      </c>
      <c r="J45" t="s">
        <v>23</v>
      </c>
      <c r="K45" t="s">
        <v>47</v>
      </c>
      <c r="L45" t="s">
        <v>168</v>
      </c>
      <c r="M45" t="s">
        <v>175</v>
      </c>
      <c r="N45">
        <v>38</v>
      </c>
      <c r="O45">
        <v>2</v>
      </c>
      <c r="P45">
        <v>2532</v>
      </c>
      <c r="Q45">
        <v>4640</v>
      </c>
      <c r="R45">
        <v>2108</v>
      </c>
    </row>
    <row r="46" spans="1:18" x14ac:dyDescent="0.25">
      <c r="A46" s="3">
        <v>261740</v>
      </c>
      <c r="B46" s="1">
        <v>44544</v>
      </c>
      <c r="C46" s="23" cm="1">
        <f t="array" ref="C46">WeekOfMonth(B46)</f>
        <v>2</v>
      </c>
      <c r="D46">
        <v>14</v>
      </c>
      <c r="E46" t="s">
        <v>20</v>
      </c>
      <c r="F46">
        <v>2021</v>
      </c>
      <c r="G46">
        <v>32</v>
      </c>
      <c r="H46" s="8" t="s">
        <v>36</v>
      </c>
      <c r="I46" t="s">
        <v>28</v>
      </c>
      <c r="J46" t="s">
        <v>23</v>
      </c>
      <c r="K46" t="s">
        <v>24</v>
      </c>
      <c r="L46" t="s">
        <v>168</v>
      </c>
      <c r="M46" t="s">
        <v>174</v>
      </c>
      <c r="N46">
        <v>46</v>
      </c>
      <c r="O46">
        <v>1</v>
      </c>
      <c r="P46">
        <v>1252</v>
      </c>
      <c r="Q46">
        <v>2295</v>
      </c>
      <c r="R46">
        <v>1043</v>
      </c>
    </row>
    <row r="47" spans="1:18" x14ac:dyDescent="0.25">
      <c r="A47" s="3">
        <v>261741</v>
      </c>
      <c r="B47" s="1">
        <v>44544</v>
      </c>
      <c r="C47" s="23" cm="1">
        <f t="array" ref="C47">WeekOfMonth(B47)</f>
        <v>2</v>
      </c>
      <c r="D47">
        <v>14</v>
      </c>
      <c r="E47" t="s">
        <v>20</v>
      </c>
      <c r="F47">
        <v>2021</v>
      </c>
      <c r="G47">
        <v>32</v>
      </c>
      <c r="H47" s="8" t="s">
        <v>36</v>
      </c>
      <c r="I47" t="s">
        <v>22</v>
      </c>
      <c r="J47" t="s">
        <v>37</v>
      </c>
      <c r="K47" t="s">
        <v>76</v>
      </c>
      <c r="L47" t="s">
        <v>169</v>
      </c>
      <c r="M47" t="s">
        <v>175</v>
      </c>
      <c r="N47">
        <v>46</v>
      </c>
      <c r="O47">
        <v>1</v>
      </c>
      <c r="P47">
        <v>420</v>
      </c>
      <c r="Q47">
        <v>769</v>
      </c>
      <c r="R47">
        <v>349</v>
      </c>
    </row>
    <row r="48" spans="1:18" x14ac:dyDescent="0.25">
      <c r="A48" s="3">
        <v>261742</v>
      </c>
      <c r="B48" s="1">
        <v>44545</v>
      </c>
      <c r="C48" s="23" cm="1">
        <f t="array" ref="C48">WeekOfMonth(B48)</f>
        <v>3</v>
      </c>
      <c r="D48">
        <v>15</v>
      </c>
      <c r="E48" t="s">
        <v>20</v>
      </c>
      <c r="F48">
        <v>2021</v>
      </c>
      <c r="G48">
        <v>29</v>
      </c>
      <c r="H48" s="8" t="s">
        <v>36</v>
      </c>
      <c r="I48" t="s">
        <v>22</v>
      </c>
      <c r="J48" t="s">
        <v>23</v>
      </c>
      <c r="K48" t="s">
        <v>24</v>
      </c>
      <c r="L48" t="s">
        <v>168</v>
      </c>
      <c r="M48" t="s">
        <v>175</v>
      </c>
      <c r="N48">
        <v>42</v>
      </c>
      <c r="O48">
        <v>1</v>
      </c>
      <c r="P48">
        <v>1266</v>
      </c>
      <c r="Q48">
        <v>2320</v>
      </c>
      <c r="R48">
        <v>1054</v>
      </c>
    </row>
    <row r="49" spans="1:18" x14ac:dyDescent="0.25">
      <c r="A49" s="3">
        <v>261743</v>
      </c>
      <c r="B49" s="1">
        <v>44546</v>
      </c>
      <c r="C49" s="23" cm="1">
        <f t="array" ref="C49">WeekOfMonth(B49)</f>
        <v>3</v>
      </c>
      <c r="D49">
        <v>16</v>
      </c>
      <c r="E49" t="s">
        <v>20</v>
      </c>
      <c r="F49">
        <v>2021</v>
      </c>
      <c r="G49">
        <v>33</v>
      </c>
      <c r="H49" s="8" t="s">
        <v>36</v>
      </c>
      <c r="I49" t="s">
        <v>22</v>
      </c>
      <c r="J49" t="s">
        <v>37</v>
      </c>
      <c r="K49" t="s">
        <v>38</v>
      </c>
      <c r="L49" t="s">
        <v>168</v>
      </c>
      <c r="M49" t="s">
        <v>174</v>
      </c>
      <c r="N49">
        <v>38</v>
      </c>
      <c r="O49">
        <v>2</v>
      </c>
      <c r="P49">
        <v>2504</v>
      </c>
      <c r="Q49">
        <v>4590</v>
      </c>
      <c r="R49">
        <v>2086</v>
      </c>
    </row>
    <row r="50" spans="1:18" x14ac:dyDescent="0.25">
      <c r="A50" s="3">
        <v>261744</v>
      </c>
      <c r="B50" s="1">
        <v>44546</v>
      </c>
      <c r="C50" s="23" cm="1">
        <f t="array" ref="C50">WeekOfMonth(B50)</f>
        <v>3</v>
      </c>
      <c r="D50">
        <v>16</v>
      </c>
      <c r="E50" t="s">
        <v>20</v>
      </c>
      <c r="F50">
        <v>2021</v>
      </c>
      <c r="G50">
        <v>38</v>
      </c>
      <c r="H50" s="8" t="s">
        <v>21</v>
      </c>
      <c r="I50" t="s">
        <v>28</v>
      </c>
      <c r="J50" t="s">
        <v>37</v>
      </c>
      <c r="K50" t="s">
        <v>38</v>
      </c>
      <c r="L50" t="s">
        <v>168</v>
      </c>
      <c r="M50" t="s">
        <v>174</v>
      </c>
      <c r="N50">
        <v>38</v>
      </c>
      <c r="O50">
        <v>2</v>
      </c>
      <c r="P50">
        <v>2504</v>
      </c>
      <c r="Q50">
        <v>4590</v>
      </c>
      <c r="R50">
        <v>2086</v>
      </c>
    </row>
    <row r="51" spans="1:18" x14ac:dyDescent="0.25">
      <c r="A51" s="3">
        <v>261745</v>
      </c>
      <c r="B51" s="1">
        <v>44546</v>
      </c>
      <c r="C51" s="23" cm="1">
        <f t="array" ref="C51">WeekOfMonth(B51)</f>
        <v>3</v>
      </c>
      <c r="D51">
        <v>16</v>
      </c>
      <c r="E51" t="s">
        <v>20</v>
      </c>
      <c r="F51">
        <v>2021</v>
      </c>
      <c r="G51">
        <v>27</v>
      </c>
      <c r="H51" s="8" t="s">
        <v>36</v>
      </c>
      <c r="I51" t="s">
        <v>22</v>
      </c>
      <c r="J51" t="s">
        <v>89</v>
      </c>
      <c r="K51" t="s">
        <v>112</v>
      </c>
      <c r="L51" t="s">
        <v>168</v>
      </c>
      <c r="M51" t="s">
        <v>175</v>
      </c>
      <c r="N51">
        <v>46</v>
      </c>
      <c r="O51">
        <v>1</v>
      </c>
      <c r="P51">
        <v>1266</v>
      </c>
      <c r="Q51">
        <v>2320</v>
      </c>
      <c r="R51">
        <v>1054</v>
      </c>
    </row>
    <row r="52" spans="1:18" x14ac:dyDescent="0.25">
      <c r="A52" s="3">
        <v>261746</v>
      </c>
      <c r="B52" s="1">
        <v>44547</v>
      </c>
      <c r="C52" s="23" cm="1">
        <f t="array" ref="C52">WeekOfMonth(B52)</f>
        <v>3</v>
      </c>
      <c r="D52">
        <v>17</v>
      </c>
      <c r="E52" t="s">
        <v>20</v>
      </c>
      <c r="F52">
        <v>2021</v>
      </c>
      <c r="G52">
        <v>37</v>
      </c>
      <c r="H52" s="8" t="s">
        <v>21</v>
      </c>
      <c r="I52" t="s">
        <v>22</v>
      </c>
      <c r="J52" t="s">
        <v>23</v>
      </c>
      <c r="K52" t="s">
        <v>47</v>
      </c>
      <c r="L52" t="s">
        <v>168</v>
      </c>
      <c r="M52" t="s">
        <v>175</v>
      </c>
      <c r="N52">
        <v>38</v>
      </c>
      <c r="O52">
        <v>2</v>
      </c>
      <c r="P52">
        <v>2532</v>
      </c>
      <c r="Q52">
        <v>4640</v>
      </c>
      <c r="R52">
        <v>2108</v>
      </c>
    </row>
    <row r="53" spans="1:18" x14ac:dyDescent="0.25">
      <c r="A53" s="3">
        <v>261747</v>
      </c>
      <c r="B53" s="1">
        <v>44547</v>
      </c>
      <c r="C53" s="23" cm="1">
        <f t="array" ref="C53">WeekOfMonth(B53)</f>
        <v>3</v>
      </c>
      <c r="D53">
        <v>17</v>
      </c>
      <c r="E53" t="s">
        <v>20</v>
      </c>
      <c r="F53">
        <v>2021</v>
      </c>
      <c r="G53">
        <v>31</v>
      </c>
      <c r="H53" s="8" t="s">
        <v>36</v>
      </c>
      <c r="I53" t="s">
        <v>28</v>
      </c>
      <c r="J53" t="s">
        <v>37</v>
      </c>
      <c r="K53" t="s">
        <v>38</v>
      </c>
      <c r="L53" t="s">
        <v>169</v>
      </c>
      <c r="M53" t="s">
        <v>175</v>
      </c>
      <c r="N53">
        <v>42</v>
      </c>
      <c r="O53">
        <v>1</v>
      </c>
      <c r="P53">
        <v>420</v>
      </c>
      <c r="Q53">
        <v>769</v>
      </c>
      <c r="R53">
        <v>349</v>
      </c>
    </row>
    <row r="54" spans="1:18" x14ac:dyDescent="0.25">
      <c r="A54" s="3">
        <v>261748</v>
      </c>
      <c r="B54" s="1">
        <v>44547</v>
      </c>
      <c r="C54" s="23" cm="1">
        <f t="array" ref="C54">WeekOfMonth(B54)</f>
        <v>3</v>
      </c>
      <c r="D54">
        <v>17</v>
      </c>
      <c r="E54" t="s">
        <v>20</v>
      </c>
      <c r="F54">
        <v>2021</v>
      </c>
      <c r="G54">
        <v>42</v>
      </c>
      <c r="H54" s="8" t="s">
        <v>21</v>
      </c>
      <c r="I54" t="s">
        <v>22</v>
      </c>
      <c r="J54" t="s">
        <v>51</v>
      </c>
      <c r="K54" t="s">
        <v>52</v>
      </c>
      <c r="L54" t="s">
        <v>168</v>
      </c>
      <c r="M54" t="s">
        <v>175</v>
      </c>
      <c r="N54">
        <v>46</v>
      </c>
      <c r="O54">
        <v>1</v>
      </c>
      <c r="P54">
        <v>1266</v>
      </c>
      <c r="Q54">
        <v>2320</v>
      </c>
      <c r="R54">
        <v>1054</v>
      </c>
    </row>
    <row r="55" spans="1:18" x14ac:dyDescent="0.25">
      <c r="A55" s="3">
        <v>261749</v>
      </c>
      <c r="B55" s="1">
        <v>44548</v>
      </c>
      <c r="C55" s="23" cm="1">
        <f t="array" ref="C55">WeekOfMonth(B55)</f>
        <v>3</v>
      </c>
      <c r="D55">
        <v>18</v>
      </c>
      <c r="E55" t="s">
        <v>20</v>
      </c>
      <c r="F55">
        <v>2021</v>
      </c>
      <c r="G55">
        <v>35</v>
      </c>
      <c r="H55" s="8" t="s">
        <v>21</v>
      </c>
      <c r="I55" t="s">
        <v>22</v>
      </c>
      <c r="J55" t="s">
        <v>37</v>
      </c>
      <c r="K55" t="s">
        <v>38</v>
      </c>
      <c r="L55" t="s">
        <v>170</v>
      </c>
      <c r="M55" t="s">
        <v>175</v>
      </c>
      <c r="N55">
        <v>42</v>
      </c>
      <c r="O55">
        <v>4</v>
      </c>
      <c r="P55">
        <v>1232</v>
      </c>
      <c r="Q55">
        <v>2260</v>
      </c>
      <c r="R55">
        <v>1028</v>
      </c>
    </row>
    <row r="56" spans="1:18" x14ac:dyDescent="0.25">
      <c r="A56" s="3">
        <v>261750</v>
      </c>
      <c r="B56" s="1">
        <v>44548</v>
      </c>
      <c r="C56" s="23" cm="1">
        <f t="array" ref="C56">WeekOfMonth(B56)</f>
        <v>3</v>
      </c>
      <c r="D56">
        <v>18</v>
      </c>
      <c r="E56" t="s">
        <v>20</v>
      </c>
      <c r="F56">
        <v>2021</v>
      </c>
      <c r="G56">
        <v>38</v>
      </c>
      <c r="H56" s="8" t="s">
        <v>21</v>
      </c>
      <c r="I56" t="s">
        <v>22</v>
      </c>
      <c r="J56" t="s">
        <v>51</v>
      </c>
      <c r="K56" t="s">
        <v>52</v>
      </c>
      <c r="L56" t="s">
        <v>168</v>
      </c>
      <c r="M56" t="s">
        <v>175</v>
      </c>
      <c r="N56">
        <v>46</v>
      </c>
      <c r="O56">
        <v>4</v>
      </c>
      <c r="P56">
        <v>5064</v>
      </c>
      <c r="Q56">
        <v>9280</v>
      </c>
      <c r="R56">
        <v>4216</v>
      </c>
    </row>
    <row r="57" spans="1:18" x14ac:dyDescent="0.25">
      <c r="A57" s="3">
        <v>261751</v>
      </c>
      <c r="B57" s="1">
        <v>44548</v>
      </c>
      <c r="C57" s="23" cm="1">
        <f t="array" ref="C57">WeekOfMonth(B57)</f>
        <v>3</v>
      </c>
      <c r="D57">
        <v>18</v>
      </c>
      <c r="E57" t="s">
        <v>20</v>
      </c>
      <c r="F57">
        <v>2021</v>
      </c>
      <c r="G57">
        <v>24</v>
      </c>
      <c r="H57" s="8" t="s">
        <v>43</v>
      </c>
      <c r="I57" t="s">
        <v>22</v>
      </c>
      <c r="J57" t="s">
        <v>89</v>
      </c>
      <c r="K57" t="s">
        <v>120</v>
      </c>
      <c r="L57" t="s">
        <v>168</v>
      </c>
      <c r="M57" t="s">
        <v>175</v>
      </c>
      <c r="N57">
        <v>38</v>
      </c>
      <c r="O57">
        <v>3</v>
      </c>
      <c r="P57">
        <v>3798</v>
      </c>
      <c r="Q57">
        <v>6960</v>
      </c>
      <c r="R57">
        <v>3162</v>
      </c>
    </row>
    <row r="58" spans="1:18" x14ac:dyDescent="0.25">
      <c r="A58" s="3">
        <v>261752</v>
      </c>
      <c r="B58" s="1">
        <v>44548</v>
      </c>
      <c r="C58" s="23" cm="1">
        <f t="array" ref="C58">WeekOfMonth(B58)</f>
        <v>3</v>
      </c>
      <c r="D58">
        <v>18</v>
      </c>
      <c r="E58" t="s">
        <v>20</v>
      </c>
      <c r="F58">
        <v>2021</v>
      </c>
      <c r="G58">
        <v>26</v>
      </c>
      <c r="H58" s="8" t="s">
        <v>36</v>
      </c>
      <c r="I58" t="s">
        <v>22</v>
      </c>
      <c r="J58" t="s">
        <v>29</v>
      </c>
      <c r="K58" t="s">
        <v>30</v>
      </c>
      <c r="L58" t="s">
        <v>169</v>
      </c>
      <c r="M58" t="s">
        <v>175</v>
      </c>
      <c r="N58">
        <v>42</v>
      </c>
      <c r="O58">
        <v>3</v>
      </c>
      <c r="P58">
        <v>1260</v>
      </c>
      <c r="Q58">
        <v>2307</v>
      </c>
      <c r="R58">
        <v>1047</v>
      </c>
    </row>
    <row r="59" spans="1:18" x14ac:dyDescent="0.25">
      <c r="A59" s="3">
        <v>261753</v>
      </c>
      <c r="B59" s="1">
        <v>44548</v>
      </c>
      <c r="C59" s="23" cm="1">
        <f t="array" ref="C59">WeekOfMonth(B59)</f>
        <v>3</v>
      </c>
      <c r="D59">
        <v>18</v>
      </c>
      <c r="E59" t="s">
        <v>20</v>
      </c>
      <c r="F59">
        <v>2021</v>
      </c>
      <c r="G59">
        <v>39</v>
      </c>
      <c r="H59" s="8" t="s">
        <v>21</v>
      </c>
      <c r="I59" t="s">
        <v>28</v>
      </c>
      <c r="J59" t="s">
        <v>23</v>
      </c>
      <c r="K59" t="s">
        <v>24</v>
      </c>
      <c r="L59" t="s">
        <v>168</v>
      </c>
      <c r="M59" t="s">
        <v>174</v>
      </c>
      <c r="N59">
        <v>42</v>
      </c>
      <c r="O59">
        <v>3</v>
      </c>
      <c r="P59">
        <v>3756</v>
      </c>
      <c r="Q59">
        <v>6885</v>
      </c>
      <c r="R59">
        <v>3129</v>
      </c>
    </row>
    <row r="60" spans="1:18" x14ac:dyDescent="0.25">
      <c r="A60" s="3">
        <v>261754</v>
      </c>
      <c r="B60" s="1">
        <v>44548</v>
      </c>
      <c r="C60" s="23" cm="1">
        <f t="array" ref="C60">WeekOfMonth(B60)</f>
        <v>3</v>
      </c>
      <c r="D60">
        <v>18</v>
      </c>
      <c r="E60" t="s">
        <v>20</v>
      </c>
      <c r="F60">
        <v>2021</v>
      </c>
      <c r="G60">
        <v>26</v>
      </c>
      <c r="H60" s="8" t="s">
        <v>36</v>
      </c>
      <c r="I60" t="s">
        <v>28</v>
      </c>
      <c r="J60" t="s">
        <v>89</v>
      </c>
      <c r="K60" t="s">
        <v>90</v>
      </c>
      <c r="L60" t="s">
        <v>168</v>
      </c>
      <c r="M60" t="s">
        <v>174</v>
      </c>
      <c r="N60">
        <v>46</v>
      </c>
      <c r="O60">
        <v>1</v>
      </c>
      <c r="P60">
        <v>1252</v>
      </c>
      <c r="Q60">
        <v>2295</v>
      </c>
      <c r="R60">
        <v>1043</v>
      </c>
    </row>
    <row r="61" spans="1:18" x14ac:dyDescent="0.25">
      <c r="A61" s="3">
        <v>261755</v>
      </c>
      <c r="B61" s="1">
        <v>44548</v>
      </c>
      <c r="C61" s="23" cm="1">
        <f t="array" ref="C61">WeekOfMonth(B61)</f>
        <v>3</v>
      </c>
      <c r="D61">
        <v>18</v>
      </c>
      <c r="E61" t="s">
        <v>20</v>
      </c>
      <c r="F61">
        <v>2021</v>
      </c>
      <c r="G61">
        <v>36</v>
      </c>
      <c r="H61" s="8" t="s">
        <v>21</v>
      </c>
      <c r="I61" t="s">
        <v>28</v>
      </c>
      <c r="J61" t="s">
        <v>23</v>
      </c>
      <c r="K61" t="s">
        <v>47</v>
      </c>
      <c r="L61" t="s">
        <v>168</v>
      </c>
      <c r="M61" t="s">
        <v>175</v>
      </c>
      <c r="N61">
        <v>38</v>
      </c>
      <c r="O61">
        <v>1</v>
      </c>
      <c r="P61">
        <v>1266</v>
      </c>
      <c r="Q61">
        <v>2320</v>
      </c>
      <c r="R61">
        <v>1054</v>
      </c>
    </row>
    <row r="62" spans="1:18" x14ac:dyDescent="0.25">
      <c r="A62" s="3">
        <v>261756</v>
      </c>
      <c r="B62" s="1">
        <v>44549</v>
      </c>
      <c r="C62" s="23" cm="1">
        <f t="array" ref="C62">WeekOfMonth(B62)</f>
        <v>3</v>
      </c>
      <c r="D62">
        <v>19</v>
      </c>
      <c r="E62" t="s">
        <v>20</v>
      </c>
      <c r="F62">
        <v>2021</v>
      </c>
      <c r="G62">
        <v>17</v>
      </c>
      <c r="H62" s="8" t="s">
        <v>43</v>
      </c>
      <c r="I62" t="s">
        <v>28</v>
      </c>
      <c r="J62" t="s">
        <v>89</v>
      </c>
      <c r="K62" t="s">
        <v>126</v>
      </c>
      <c r="L62" t="s">
        <v>168</v>
      </c>
      <c r="M62" t="s">
        <v>175</v>
      </c>
      <c r="N62">
        <v>46</v>
      </c>
      <c r="O62">
        <v>4</v>
      </c>
      <c r="P62">
        <v>5064</v>
      </c>
      <c r="Q62">
        <v>9280</v>
      </c>
      <c r="R62">
        <v>4216</v>
      </c>
    </row>
    <row r="63" spans="1:18" x14ac:dyDescent="0.25">
      <c r="A63" s="3">
        <v>261757</v>
      </c>
      <c r="B63" s="1">
        <v>44549</v>
      </c>
      <c r="C63" s="23" cm="1">
        <f t="array" ref="C63">WeekOfMonth(B63)</f>
        <v>3</v>
      </c>
      <c r="D63">
        <v>19</v>
      </c>
      <c r="E63" t="s">
        <v>20</v>
      </c>
      <c r="F63">
        <v>2021</v>
      </c>
      <c r="G63">
        <v>19</v>
      </c>
      <c r="H63" s="8" t="s">
        <v>43</v>
      </c>
      <c r="I63" t="s">
        <v>22</v>
      </c>
      <c r="J63" t="s">
        <v>37</v>
      </c>
      <c r="K63" t="s">
        <v>76</v>
      </c>
      <c r="L63" t="s">
        <v>170</v>
      </c>
      <c r="M63" t="s">
        <v>174</v>
      </c>
      <c r="N63">
        <v>44</v>
      </c>
      <c r="O63">
        <v>4</v>
      </c>
      <c r="P63">
        <v>1180</v>
      </c>
      <c r="Q63">
        <v>2160</v>
      </c>
      <c r="R63">
        <v>980</v>
      </c>
    </row>
    <row r="64" spans="1:18" x14ac:dyDescent="0.25">
      <c r="A64" s="3">
        <v>261758</v>
      </c>
      <c r="B64" s="1">
        <v>44549</v>
      </c>
      <c r="C64" s="23" cm="1">
        <f t="array" ref="C64">WeekOfMonth(B64)</f>
        <v>3</v>
      </c>
      <c r="D64">
        <v>19</v>
      </c>
      <c r="E64" t="s">
        <v>20</v>
      </c>
      <c r="F64">
        <v>2021</v>
      </c>
      <c r="G64">
        <v>25</v>
      </c>
      <c r="H64" s="8" t="s">
        <v>36</v>
      </c>
      <c r="I64" t="s">
        <v>28</v>
      </c>
      <c r="J64" t="s">
        <v>89</v>
      </c>
      <c r="K64" t="s">
        <v>90</v>
      </c>
      <c r="L64" t="s">
        <v>168</v>
      </c>
      <c r="M64" t="s">
        <v>174</v>
      </c>
      <c r="N64">
        <v>38</v>
      </c>
      <c r="O64">
        <v>4</v>
      </c>
      <c r="P64">
        <v>5008</v>
      </c>
      <c r="Q64">
        <v>9180</v>
      </c>
      <c r="R64">
        <v>4172</v>
      </c>
    </row>
    <row r="65" spans="1:18" x14ac:dyDescent="0.25">
      <c r="A65" s="3">
        <v>261759</v>
      </c>
      <c r="B65" s="1">
        <v>44549</v>
      </c>
      <c r="C65" s="23" cm="1">
        <f t="array" ref="C65">WeekOfMonth(B65)</f>
        <v>3</v>
      </c>
      <c r="D65">
        <v>19</v>
      </c>
      <c r="E65" t="s">
        <v>20</v>
      </c>
      <c r="F65">
        <v>2021</v>
      </c>
      <c r="G65">
        <v>35</v>
      </c>
      <c r="H65" s="8" t="s">
        <v>21</v>
      </c>
      <c r="I65" t="s">
        <v>22</v>
      </c>
      <c r="J65" t="s">
        <v>23</v>
      </c>
      <c r="K65" t="s">
        <v>72</v>
      </c>
      <c r="L65" t="s">
        <v>171</v>
      </c>
      <c r="M65" t="s">
        <v>174</v>
      </c>
      <c r="N65">
        <v>48</v>
      </c>
      <c r="O65">
        <v>4</v>
      </c>
      <c r="P65">
        <v>7592</v>
      </c>
      <c r="Q65">
        <v>13500</v>
      </c>
      <c r="R65">
        <v>5908</v>
      </c>
    </row>
    <row r="66" spans="1:18" x14ac:dyDescent="0.25">
      <c r="A66" s="3">
        <v>261760</v>
      </c>
      <c r="B66" s="1">
        <v>44549</v>
      </c>
      <c r="C66" s="23" cm="1">
        <f t="array" ref="C66">WeekOfMonth(B66)</f>
        <v>3</v>
      </c>
      <c r="D66">
        <v>19</v>
      </c>
      <c r="E66" t="s">
        <v>20</v>
      </c>
      <c r="F66">
        <v>2021</v>
      </c>
      <c r="G66">
        <v>37</v>
      </c>
      <c r="H66" s="8" t="s">
        <v>21</v>
      </c>
      <c r="I66" t="s">
        <v>28</v>
      </c>
      <c r="J66" t="s">
        <v>23</v>
      </c>
      <c r="K66" t="s">
        <v>72</v>
      </c>
      <c r="L66" t="s">
        <v>168</v>
      </c>
      <c r="M66" t="s">
        <v>174</v>
      </c>
      <c r="N66">
        <v>38</v>
      </c>
      <c r="O66">
        <v>4</v>
      </c>
      <c r="P66">
        <v>5008</v>
      </c>
      <c r="Q66">
        <v>9180</v>
      </c>
      <c r="R66">
        <v>4172</v>
      </c>
    </row>
    <row r="67" spans="1:18" x14ac:dyDescent="0.25">
      <c r="A67" s="3">
        <v>261761</v>
      </c>
      <c r="B67" s="1">
        <v>44549</v>
      </c>
      <c r="C67" s="23" cm="1">
        <f t="array" ref="C67">WeekOfMonth(B67)</f>
        <v>3</v>
      </c>
      <c r="D67">
        <v>19</v>
      </c>
      <c r="E67" t="s">
        <v>20</v>
      </c>
      <c r="F67">
        <v>2021</v>
      </c>
      <c r="G67">
        <v>39</v>
      </c>
      <c r="H67" s="8" t="s">
        <v>21</v>
      </c>
      <c r="I67" t="s">
        <v>22</v>
      </c>
      <c r="J67" t="s">
        <v>23</v>
      </c>
      <c r="K67" t="s">
        <v>24</v>
      </c>
      <c r="L67" t="s">
        <v>168</v>
      </c>
      <c r="M67" t="s">
        <v>174</v>
      </c>
      <c r="N67">
        <v>46</v>
      </c>
      <c r="O67">
        <v>4</v>
      </c>
      <c r="P67">
        <v>5008</v>
      </c>
      <c r="Q67">
        <v>9180</v>
      </c>
      <c r="R67">
        <v>4172</v>
      </c>
    </row>
    <row r="68" spans="1:18" x14ac:dyDescent="0.25">
      <c r="A68" s="3">
        <v>261762</v>
      </c>
      <c r="B68" s="1">
        <v>44549</v>
      </c>
      <c r="C68" s="23" cm="1">
        <f t="array" ref="C68">WeekOfMonth(B68)</f>
        <v>3</v>
      </c>
      <c r="D68">
        <v>19</v>
      </c>
      <c r="E68" t="s">
        <v>20</v>
      </c>
      <c r="F68">
        <v>2021</v>
      </c>
      <c r="G68">
        <v>63</v>
      </c>
      <c r="H68" s="8" t="s">
        <v>21</v>
      </c>
      <c r="I68" t="s">
        <v>22</v>
      </c>
      <c r="J68" t="s">
        <v>37</v>
      </c>
      <c r="K68" t="s">
        <v>54</v>
      </c>
      <c r="L68" t="s">
        <v>168</v>
      </c>
      <c r="M68" t="s">
        <v>174</v>
      </c>
      <c r="N68">
        <v>46</v>
      </c>
      <c r="O68">
        <v>4</v>
      </c>
      <c r="P68">
        <v>5008</v>
      </c>
      <c r="Q68">
        <v>9180</v>
      </c>
      <c r="R68">
        <v>4172</v>
      </c>
    </row>
    <row r="69" spans="1:18" x14ac:dyDescent="0.25">
      <c r="A69" s="3">
        <v>261763</v>
      </c>
      <c r="B69" s="1">
        <v>44549</v>
      </c>
      <c r="C69" s="23" cm="1">
        <f t="array" ref="C69">WeekOfMonth(B69)</f>
        <v>3</v>
      </c>
      <c r="D69">
        <v>19</v>
      </c>
      <c r="E69" t="s">
        <v>20</v>
      </c>
      <c r="F69">
        <v>2021</v>
      </c>
      <c r="G69">
        <v>18</v>
      </c>
      <c r="H69" s="8" t="s">
        <v>43</v>
      </c>
      <c r="I69" t="s">
        <v>28</v>
      </c>
      <c r="J69" t="s">
        <v>37</v>
      </c>
      <c r="K69" t="s">
        <v>136</v>
      </c>
      <c r="L69" t="s">
        <v>170</v>
      </c>
      <c r="M69" t="s">
        <v>174</v>
      </c>
      <c r="N69">
        <v>40</v>
      </c>
      <c r="O69">
        <v>2</v>
      </c>
      <c r="P69">
        <v>590</v>
      </c>
      <c r="Q69">
        <v>1080</v>
      </c>
      <c r="R69">
        <v>490</v>
      </c>
    </row>
    <row r="70" spans="1:18" x14ac:dyDescent="0.25">
      <c r="A70" s="3">
        <v>261764</v>
      </c>
      <c r="B70" s="1">
        <v>44549</v>
      </c>
      <c r="C70" s="23" cm="1">
        <f t="array" ref="C70">WeekOfMonth(B70)</f>
        <v>3</v>
      </c>
      <c r="D70">
        <v>19</v>
      </c>
      <c r="E70" t="s">
        <v>20</v>
      </c>
      <c r="F70">
        <v>2021</v>
      </c>
      <c r="G70">
        <v>56</v>
      </c>
      <c r="H70" s="8" t="s">
        <v>21</v>
      </c>
      <c r="I70" t="s">
        <v>22</v>
      </c>
      <c r="J70" t="s">
        <v>51</v>
      </c>
      <c r="K70" t="s">
        <v>138</v>
      </c>
      <c r="L70" t="s">
        <v>168</v>
      </c>
      <c r="M70" t="s">
        <v>174</v>
      </c>
      <c r="N70">
        <v>46</v>
      </c>
      <c r="O70">
        <v>2</v>
      </c>
      <c r="P70">
        <v>2504</v>
      </c>
      <c r="Q70">
        <v>4590</v>
      </c>
      <c r="R70">
        <v>2086</v>
      </c>
    </row>
    <row r="71" spans="1:18" x14ac:dyDescent="0.25">
      <c r="A71" s="3">
        <v>261765</v>
      </c>
      <c r="B71" s="1">
        <v>44549</v>
      </c>
      <c r="C71" s="23" cm="1">
        <f t="array" ref="C71">WeekOfMonth(B71)</f>
        <v>3</v>
      </c>
      <c r="D71">
        <v>19</v>
      </c>
      <c r="E71" t="s">
        <v>20</v>
      </c>
      <c r="F71">
        <v>2021</v>
      </c>
      <c r="G71">
        <v>39</v>
      </c>
      <c r="H71" s="8" t="s">
        <v>21</v>
      </c>
      <c r="I71" t="s">
        <v>22</v>
      </c>
      <c r="J71" t="s">
        <v>23</v>
      </c>
      <c r="K71" t="s">
        <v>47</v>
      </c>
      <c r="L71" t="s">
        <v>168</v>
      </c>
      <c r="M71" t="s">
        <v>175</v>
      </c>
      <c r="N71">
        <v>38</v>
      </c>
      <c r="O71">
        <v>1</v>
      </c>
      <c r="P71">
        <v>1266</v>
      </c>
      <c r="Q71">
        <v>2320</v>
      </c>
      <c r="R71">
        <v>1054</v>
      </c>
    </row>
    <row r="72" spans="1:18" x14ac:dyDescent="0.25">
      <c r="A72" s="3">
        <v>261766</v>
      </c>
      <c r="B72" s="1">
        <v>44550</v>
      </c>
      <c r="C72" s="23" cm="1">
        <f t="array" ref="C72">WeekOfMonth(B72)</f>
        <v>3</v>
      </c>
      <c r="D72">
        <v>20</v>
      </c>
      <c r="E72" t="s">
        <v>20</v>
      </c>
      <c r="F72">
        <v>2021</v>
      </c>
      <c r="G72">
        <v>33</v>
      </c>
      <c r="H72" s="8" t="s">
        <v>36</v>
      </c>
      <c r="I72" t="s">
        <v>22</v>
      </c>
      <c r="J72" t="s">
        <v>37</v>
      </c>
      <c r="K72" t="s">
        <v>76</v>
      </c>
      <c r="L72" t="s">
        <v>171</v>
      </c>
      <c r="M72" t="s">
        <v>174</v>
      </c>
      <c r="N72">
        <v>38</v>
      </c>
      <c r="O72">
        <v>4</v>
      </c>
      <c r="P72">
        <v>7592</v>
      </c>
      <c r="Q72">
        <v>13500</v>
      </c>
      <c r="R72">
        <v>5908</v>
      </c>
    </row>
    <row r="73" spans="1:18" x14ac:dyDescent="0.25">
      <c r="A73" s="3">
        <v>261767</v>
      </c>
      <c r="B73" s="1">
        <v>44550</v>
      </c>
      <c r="C73" s="23" cm="1">
        <f t="array" ref="C73">WeekOfMonth(B73)</f>
        <v>3</v>
      </c>
      <c r="D73">
        <v>20</v>
      </c>
      <c r="E73" t="s">
        <v>20</v>
      </c>
      <c r="F73">
        <v>2021</v>
      </c>
      <c r="G73">
        <v>57</v>
      </c>
      <c r="H73" s="8" t="s">
        <v>21</v>
      </c>
      <c r="I73" t="s">
        <v>28</v>
      </c>
      <c r="J73" t="s">
        <v>37</v>
      </c>
      <c r="K73" t="s">
        <v>54</v>
      </c>
      <c r="L73" t="s">
        <v>168</v>
      </c>
      <c r="M73" t="s">
        <v>174</v>
      </c>
      <c r="N73">
        <v>46</v>
      </c>
      <c r="O73">
        <v>4</v>
      </c>
      <c r="P73">
        <v>5008</v>
      </c>
      <c r="Q73">
        <v>9180</v>
      </c>
      <c r="R73">
        <v>4172</v>
      </c>
    </row>
    <row r="74" spans="1:18" x14ac:dyDescent="0.25">
      <c r="A74" s="3">
        <v>261768</v>
      </c>
      <c r="B74" s="1">
        <v>44550</v>
      </c>
      <c r="C74" s="23" cm="1">
        <f t="array" ref="C74">WeekOfMonth(B74)</f>
        <v>3</v>
      </c>
      <c r="D74">
        <v>20</v>
      </c>
      <c r="E74" t="s">
        <v>20</v>
      </c>
      <c r="F74">
        <v>2021</v>
      </c>
      <c r="G74">
        <v>29</v>
      </c>
      <c r="H74" s="8" t="s">
        <v>36</v>
      </c>
      <c r="I74" t="s">
        <v>28</v>
      </c>
      <c r="J74" t="s">
        <v>59</v>
      </c>
      <c r="K74" t="s">
        <v>60</v>
      </c>
      <c r="L74" t="s">
        <v>170</v>
      </c>
      <c r="M74" t="s">
        <v>174</v>
      </c>
      <c r="N74">
        <v>52</v>
      </c>
      <c r="O74">
        <v>3</v>
      </c>
      <c r="P74">
        <v>885</v>
      </c>
      <c r="Q74">
        <v>1620</v>
      </c>
      <c r="R74">
        <v>735</v>
      </c>
    </row>
    <row r="75" spans="1:18" x14ac:dyDescent="0.25">
      <c r="A75" s="3">
        <v>261769</v>
      </c>
      <c r="B75" s="1">
        <v>44550</v>
      </c>
      <c r="C75" s="23" cm="1">
        <f t="array" ref="C75">WeekOfMonth(B75)</f>
        <v>3</v>
      </c>
      <c r="D75">
        <v>20</v>
      </c>
      <c r="E75" t="s">
        <v>20</v>
      </c>
      <c r="F75">
        <v>2021</v>
      </c>
      <c r="G75">
        <v>35</v>
      </c>
      <c r="H75" s="8" t="s">
        <v>21</v>
      </c>
      <c r="I75" t="s">
        <v>22</v>
      </c>
      <c r="J75" t="s">
        <v>37</v>
      </c>
      <c r="K75" t="s">
        <v>54</v>
      </c>
      <c r="L75" t="s">
        <v>168</v>
      </c>
      <c r="M75" t="s">
        <v>175</v>
      </c>
      <c r="N75">
        <v>38</v>
      </c>
      <c r="O75">
        <v>1</v>
      </c>
      <c r="P75">
        <v>1266</v>
      </c>
      <c r="Q75">
        <v>2320</v>
      </c>
      <c r="R75">
        <v>1054</v>
      </c>
    </row>
    <row r="76" spans="1:18" x14ac:dyDescent="0.25">
      <c r="A76" s="3">
        <v>261770</v>
      </c>
      <c r="B76" s="1">
        <v>44550</v>
      </c>
      <c r="C76" s="23" cm="1">
        <f t="array" ref="C76">WeekOfMonth(B76)</f>
        <v>3</v>
      </c>
      <c r="D76">
        <v>20</v>
      </c>
      <c r="E76" t="s">
        <v>20</v>
      </c>
      <c r="F76">
        <v>2021</v>
      </c>
      <c r="G76">
        <v>35</v>
      </c>
      <c r="H76" s="8" t="s">
        <v>21</v>
      </c>
      <c r="I76" t="s">
        <v>28</v>
      </c>
      <c r="J76" t="s">
        <v>37</v>
      </c>
      <c r="K76" t="s">
        <v>76</v>
      </c>
      <c r="L76" t="s">
        <v>168</v>
      </c>
      <c r="M76" t="s">
        <v>175</v>
      </c>
      <c r="N76">
        <v>38</v>
      </c>
      <c r="O76">
        <v>1</v>
      </c>
      <c r="P76">
        <v>1266</v>
      </c>
      <c r="Q76">
        <v>2320</v>
      </c>
      <c r="R76">
        <v>1054</v>
      </c>
    </row>
    <row r="77" spans="1:18" x14ac:dyDescent="0.25">
      <c r="A77" s="3">
        <v>261771</v>
      </c>
      <c r="B77" s="1">
        <v>44551</v>
      </c>
      <c r="C77" s="23" cm="1">
        <f t="array" ref="C77">WeekOfMonth(B77)</f>
        <v>3</v>
      </c>
      <c r="D77">
        <v>21</v>
      </c>
      <c r="E77" t="s">
        <v>20</v>
      </c>
      <c r="F77">
        <v>2021</v>
      </c>
      <c r="G77">
        <v>26</v>
      </c>
      <c r="H77" s="8" t="s">
        <v>36</v>
      </c>
      <c r="I77" t="s">
        <v>28</v>
      </c>
      <c r="J77" t="s">
        <v>89</v>
      </c>
      <c r="K77" t="s">
        <v>147</v>
      </c>
      <c r="L77" t="s">
        <v>168</v>
      </c>
      <c r="M77" t="s">
        <v>175</v>
      </c>
      <c r="N77">
        <v>38</v>
      </c>
      <c r="O77">
        <v>3</v>
      </c>
      <c r="P77">
        <v>3798</v>
      </c>
      <c r="Q77">
        <v>6960</v>
      </c>
      <c r="R77">
        <v>3162</v>
      </c>
    </row>
    <row r="78" spans="1:18" x14ac:dyDescent="0.25">
      <c r="A78" s="3">
        <v>261772</v>
      </c>
      <c r="B78" s="1">
        <v>44551</v>
      </c>
      <c r="C78" s="23" cm="1">
        <f t="array" ref="C78">WeekOfMonth(B78)</f>
        <v>3</v>
      </c>
      <c r="D78">
        <v>21</v>
      </c>
      <c r="E78" t="s">
        <v>20</v>
      </c>
      <c r="F78">
        <v>2021</v>
      </c>
      <c r="G78">
        <v>23</v>
      </c>
      <c r="H78" s="8" t="s">
        <v>43</v>
      </c>
      <c r="I78" t="s">
        <v>28</v>
      </c>
      <c r="J78" t="s">
        <v>29</v>
      </c>
      <c r="K78" t="s">
        <v>30</v>
      </c>
      <c r="L78" t="s">
        <v>169</v>
      </c>
      <c r="M78" t="s">
        <v>175</v>
      </c>
      <c r="N78">
        <v>46</v>
      </c>
      <c r="O78">
        <v>2</v>
      </c>
      <c r="P78">
        <v>840</v>
      </c>
      <c r="Q78">
        <v>1538</v>
      </c>
      <c r="R78">
        <v>698</v>
      </c>
    </row>
    <row r="79" spans="1:18" x14ac:dyDescent="0.25">
      <c r="A79" s="3">
        <v>261773</v>
      </c>
      <c r="B79" s="1">
        <v>44552</v>
      </c>
      <c r="C79" s="23" cm="1">
        <f t="array" ref="C79">WeekOfMonth(B79)</f>
        <v>4</v>
      </c>
      <c r="D79">
        <v>22</v>
      </c>
      <c r="E79" t="s">
        <v>20</v>
      </c>
      <c r="F79">
        <v>2021</v>
      </c>
      <c r="G79">
        <v>30</v>
      </c>
      <c r="H79" s="8" t="s">
        <v>36</v>
      </c>
      <c r="I79" t="s">
        <v>22</v>
      </c>
      <c r="J79" t="s">
        <v>23</v>
      </c>
      <c r="K79" t="s">
        <v>47</v>
      </c>
      <c r="L79" t="s">
        <v>168</v>
      </c>
      <c r="M79" t="s">
        <v>175</v>
      </c>
      <c r="N79">
        <v>38</v>
      </c>
      <c r="O79">
        <v>3</v>
      </c>
      <c r="P79">
        <v>3798</v>
      </c>
      <c r="Q79">
        <v>6960</v>
      </c>
      <c r="R79">
        <v>3162</v>
      </c>
    </row>
    <row r="80" spans="1:18" x14ac:dyDescent="0.25">
      <c r="A80" s="3">
        <v>261774</v>
      </c>
      <c r="B80" s="1">
        <v>44552</v>
      </c>
      <c r="C80" s="23" cm="1">
        <f t="array" ref="C80">WeekOfMonth(B80)</f>
        <v>4</v>
      </c>
      <c r="D80">
        <v>22</v>
      </c>
      <c r="E80" t="s">
        <v>20</v>
      </c>
      <c r="F80">
        <v>2021</v>
      </c>
      <c r="G80">
        <v>41</v>
      </c>
      <c r="H80" s="8" t="s">
        <v>21</v>
      </c>
      <c r="I80" t="s">
        <v>28</v>
      </c>
      <c r="J80" t="s">
        <v>23</v>
      </c>
      <c r="K80" t="s">
        <v>24</v>
      </c>
      <c r="L80" t="s">
        <v>168</v>
      </c>
      <c r="M80" t="s">
        <v>174</v>
      </c>
      <c r="N80">
        <v>42</v>
      </c>
      <c r="O80">
        <v>3</v>
      </c>
      <c r="P80">
        <v>3756</v>
      </c>
      <c r="Q80">
        <v>6885</v>
      </c>
      <c r="R80">
        <v>3129</v>
      </c>
    </row>
    <row r="81" spans="1:18" x14ac:dyDescent="0.25">
      <c r="A81" s="3">
        <v>261775</v>
      </c>
      <c r="B81" s="1">
        <v>44552</v>
      </c>
      <c r="C81" s="23" cm="1">
        <f t="array" ref="C81">WeekOfMonth(B81)</f>
        <v>4</v>
      </c>
      <c r="D81">
        <v>22</v>
      </c>
      <c r="E81" t="s">
        <v>20</v>
      </c>
      <c r="F81">
        <v>2021</v>
      </c>
      <c r="G81">
        <v>19</v>
      </c>
      <c r="H81" s="8" t="s">
        <v>43</v>
      </c>
      <c r="I81" t="s">
        <v>22</v>
      </c>
      <c r="J81" t="s">
        <v>37</v>
      </c>
      <c r="K81" t="s">
        <v>38</v>
      </c>
      <c r="L81" t="s">
        <v>170</v>
      </c>
      <c r="M81" t="s">
        <v>175</v>
      </c>
      <c r="N81">
        <v>42</v>
      </c>
      <c r="O81">
        <v>1</v>
      </c>
      <c r="P81">
        <v>308</v>
      </c>
      <c r="Q81">
        <v>565</v>
      </c>
      <c r="R81">
        <v>257</v>
      </c>
    </row>
    <row r="82" spans="1:18" x14ac:dyDescent="0.25">
      <c r="A82" s="3">
        <v>261776</v>
      </c>
      <c r="B82" s="1">
        <v>44552</v>
      </c>
      <c r="C82" s="23" cm="1">
        <f t="array" ref="C82">WeekOfMonth(B82)</f>
        <v>4</v>
      </c>
      <c r="D82">
        <v>22</v>
      </c>
      <c r="E82" t="s">
        <v>20</v>
      </c>
      <c r="F82">
        <v>2021</v>
      </c>
      <c r="G82">
        <v>25</v>
      </c>
      <c r="H82" s="8" t="s">
        <v>36</v>
      </c>
      <c r="I82" t="s">
        <v>28</v>
      </c>
      <c r="J82" t="s">
        <v>89</v>
      </c>
      <c r="K82" t="s">
        <v>90</v>
      </c>
      <c r="L82" t="s">
        <v>168</v>
      </c>
      <c r="M82" t="s">
        <v>174</v>
      </c>
      <c r="N82">
        <v>38</v>
      </c>
      <c r="O82">
        <v>1</v>
      </c>
      <c r="P82">
        <v>1252</v>
      </c>
      <c r="Q82">
        <v>2295</v>
      </c>
      <c r="R82">
        <v>1043</v>
      </c>
    </row>
    <row r="83" spans="1:18" x14ac:dyDescent="0.25">
      <c r="A83" s="3">
        <v>261777</v>
      </c>
      <c r="B83" s="1">
        <v>44552</v>
      </c>
      <c r="C83" s="23" cm="1">
        <f t="array" ref="C83">WeekOfMonth(B83)</f>
        <v>4</v>
      </c>
      <c r="D83">
        <v>22</v>
      </c>
      <c r="E83" t="s">
        <v>20</v>
      </c>
      <c r="F83">
        <v>2021</v>
      </c>
      <c r="G83">
        <v>27</v>
      </c>
      <c r="H83" s="8" t="s">
        <v>36</v>
      </c>
      <c r="I83" t="s">
        <v>22</v>
      </c>
      <c r="J83" t="s">
        <v>59</v>
      </c>
      <c r="K83" t="s">
        <v>60</v>
      </c>
      <c r="L83" t="s">
        <v>168</v>
      </c>
      <c r="M83" t="s">
        <v>174</v>
      </c>
      <c r="N83">
        <v>46</v>
      </c>
      <c r="O83">
        <v>1</v>
      </c>
      <c r="P83">
        <v>1252</v>
      </c>
      <c r="Q83">
        <v>2295</v>
      </c>
      <c r="R83">
        <v>1043</v>
      </c>
    </row>
    <row r="84" spans="1:18" x14ac:dyDescent="0.25">
      <c r="A84" s="3">
        <v>261778</v>
      </c>
      <c r="B84" s="1">
        <v>44552</v>
      </c>
      <c r="C84" s="23" cm="1">
        <f t="array" ref="C84">WeekOfMonth(B84)</f>
        <v>4</v>
      </c>
      <c r="D84">
        <v>22</v>
      </c>
      <c r="E84" t="s">
        <v>20</v>
      </c>
      <c r="F84">
        <v>2021</v>
      </c>
      <c r="G84">
        <v>41</v>
      </c>
      <c r="H84" s="8" t="s">
        <v>21</v>
      </c>
      <c r="I84" t="s">
        <v>28</v>
      </c>
      <c r="J84" t="s">
        <v>51</v>
      </c>
      <c r="K84" t="s">
        <v>138</v>
      </c>
      <c r="L84" t="s">
        <v>168</v>
      </c>
      <c r="M84" t="s">
        <v>175</v>
      </c>
      <c r="N84">
        <v>38</v>
      </c>
      <c r="O84">
        <v>1</v>
      </c>
      <c r="P84">
        <v>1266</v>
      </c>
      <c r="Q84">
        <v>2320</v>
      </c>
      <c r="R84">
        <v>1054</v>
      </c>
    </row>
    <row r="85" spans="1:18" x14ac:dyDescent="0.25">
      <c r="A85" s="3">
        <v>261779</v>
      </c>
      <c r="B85" s="1">
        <v>44553</v>
      </c>
      <c r="C85" s="23" cm="1">
        <f t="array" ref="C85">WeekOfMonth(B85)</f>
        <v>4</v>
      </c>
      <c r="D85">
        <v>23</v>
      </c>
      <c r="E85" t="s">
        <v>20</v>
      </c>
      <c r="F85">
        <v>2021</v>
      </c>
      <c r="G85">
        <v>30</v>
      </c>
      <c r="H85" s="8" t="s">
        <v>36</v>
      </c>
      <c r="I85" t="s">
        <v>22</v>
      </c>
      <c r="J85" t="s">
        <v>23</v>
      </c>
      <c r="K85" t="s">
        <v>72</v>
      </c>
      <c r="L85" t="s">
        <v>168</v>
      </c>
      <c r="M85" t="s">
        <v>175</v>
      </c>
      <c r="N85">
        <v>42</v>
      </c>
      <c r="O85">
        <v>1</v>
      </c>
      <c r="P85">
        <v>1266</v>
      </c>
      <c r="Q85">
        <v>2320</v>
      </c>
      <c r="R85">
        <v>1054</v>
      </c>
    </row>
    <row r="86" spans="1:18" x14ac:dyDescent="0.25">
      <c r="A86" s="3">
        <v>261780</v>
      </c>
      <c r="B86" s="1">
        <v>44553</v>
      </c>
      <c r="C86" s="23" cm="1">
        <f t="array" ref="C86">WeekOfMonth(B86)</f>
        <v>4</v>
      </c>
      <c r="D86">
        <v>23</v>
      </c>
      <c r="E86" t="s">
        <v>20</v>
      </c>
      <c r="F86">
        <v>2021</v>
      </c>
      <c r="G86">
        <v>31</v>
      </c>
      <c r="H86" s="8" t="s">
        <v>36</v>
      </c>
      <c r="I86" t="s">
        <v>22</v>
      </c>
      <c r="J86" t="s">
        <v>59</v>
      </c>
      <c r="K86" t="s">
        <v>60</v>
      </c>
      <c r="L86" t="s">
        <v>168</v>
      </c>
      <c r="M86" t="s">
        <v>174</v>
      </c>
      <c r="N86">
        <v>42</v>
      </c>
      <c r="O86">
        <v>1</v>
      </c>
      <c r="P86">
        <v>1252</v>
      </c>
      <c r="Q86">
        <v>2295</v>
      </c>
      <c r="R86">
        <v>1043</v>
      </c>
    </row>
    <row r="87" spans="1:18" x14ac:dyDescent="0.25">
      <c r="A87" s="3">
        <v>261781</v>
      </c>
      <c r="B87" s="1">
        <v>44553</v>
      </c>
      <c r="C87" s="23" cm="1">
        <f t="array" ref="C87">WeekOfMonth(B87)</f>
        <v>4</v>
      </c>
      <c r="D87">
        <v>23</v>
      </c>
      <c r="E87" t="s">
        <v>20</v>
      </c>
      <c r="F87">
        <v>2021</v>
      </c>
      <c r="G87">
        <v>35</v>
      </c>
      <c r="H87" s="8" t="s">
        <v>21</v>
      </c>
      <c r="I87" t="s">
        <v>22</v>
      </c>
      <c r="J87" t="s">
        <v>23</v>
      </c>
      <c r="K87" t="s">
        <v>24</v>
      </c>
      <c r="L87" t="s">
        <v>170</v>
      </c>
      <c r="M87" t="s">
        <v>174</v>
      </c>
      <c r="N87">
        <v>42</v>
      </c>
      <c r="O87">
        <v>1</v>
      </c>
      <c r="P87">
        <v>295</v>
      </c>
      <c r="Q87">
        <v>540</v>
      </c>
      <c r="R87">
        <v>245</v>
      </c>
    </row>
    <row r="88" spans="1:18" x14ac:dyDescent="0.25">
      <c r="A88" s="3">
        <v>261782</v>
      </c>
      <c r="B88" s="1">
        <v>44554</v>
      </c>
      <c r="C88" s="23" cm="1">
        <f t="array" ref="C88">WeekOfMonth(B88)</f>
        <v>4</v>
      </c>
      <c r="D88">
        <v>24</v>
      </c>
      <c r="E88" t="s">
        <v>20</v>
      </c>
      <c r="F88">
        <v>2021</v>
      </c>
      <c r="G88">
        <v>38</v>
      </c>
      <c r="H88" s="8" t="s">
        <v>21</v>
      </c>
      <c r="I88" t="s">
        <v>28</v>
      </c>
      <c r="J88" t="s">
        <v>37</v>
      </c>
      <c r="K88" t="s">
        <v>54</v>
      </c>
      <c r="L88" t="s">
        <v>168</v>
      </c>
      <c r="M88" t="s">
        <v>174</v>
      </c>
      <c r="N88">
        <v>42</v>
      </c>
      <c r="O88">
        <v>4</v>
      </c>
      <c r="P88">
        <v>5008</v>
      </c>
      <c r="Q88">
        <v>9180</v>
      </c>
      <c r="R88">
        <v>4172</v>
      </c>
    </row>
  </sheetData>
  <phoneticPr fontId="18"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B56FA-769D-4B44-8E0F-5EE3239AEDEE}">
  <dimension ref="A1:E35"/>
  <sheetViews>
    <sheetView workbookViewId="0">
      <selection activeCell="P28" sqref="P28"/>
    </sheetView>
  </sheetViews>
  <sheetFormatPr defaultRowHeight="15" x14ac:dyDescent="0.25"/>
  <cols>
    <col min="1" max="1" width="15.42578125" bestFit="1" customWidth="1"/>
    <col min="2" max="2" width="12.140625" bestFit="1" customWidth="1"/>
    <col min="3" max="3" width="7.42578125" bestFit="1" customWidth="1"/>
    <col min="4" max="4" width="6.85546875" bestFit="1" customWidth="1"/>
    <col min="5" max="5" width="18" customWidth="1"/>
    <col min="6" max="6" width="15.5703125" bestFit="1" customWidth="1"/>
    <col min="7" max="7" width="13.140625" bestFit="1" customWidth="1"/>
    <col min="8" max="8" width="11.28515625" bestFit="1" customWidth="1"/>
  </cols>
  <sheetData>
    <row r="1" spans="1:5" x14ac:dyDescent="0.25">
      <c r="A1" t="s">
        <v>179</v>
      </c>
      <c r="B1">
        <v>1</v>
      </c>
      <c r="E1" t="s">
        <v>178</v>
      </c>
    </row>
    <row r="2" spans="1:5" x14ac:dyDescent="0.25">
      <c r="E2" s="20" t="s">
        <v>37</v>
      </c>
    </row>
    <row r="3" spans="1:5" x14ac:dyDescent="0.25">
      <c r="A3" s="19" t="s">
        <v>163</v>
      </c>
      <c r="B3" t="s">
        <v>165</v>
      </c>
      <c r="E3" s="20" t="s">
        <v>59</v>
      </c>
    </row>
    <row r="4" spans="1:5" x14ac:dyDescent="0.25">
      <c r="A4" s="20" t="s">
        <v>22</v>
      </c>
      <c r="B4" s="28">
        <v>210919</v>
      </c>
      <c r="E4" s="20" t="s">
        <v>89</v>
      </c>
    </row>
    <row r="5" spans="1:5" x14ac:dyDescent="0.25">
      <c r="A5" s="20" t="s">
        <v>28</v>
      </c>
      <c r="B5" s="28">
        <v>147478</v>
      </c>
      <c r="E5" s="20" t="s">
        <v>51</v>
      </c>
    </row>
    <row r="6" spans="1:5" x14ac:dyDescent="0.25">
      <c r="A6" s="20" t="s">
        <v>164</v>
      </c>
      <c r="B6" s="28">
        <v>358397</v>
      </c>
      <c r="E6" s="20" t="s">
        <v>29</v>
      </c>
    </row>
    <row r="7" spans="1:5" x14ac:dyDescent="0.25">
      <c r="E7" s="20" t="s">
        <v>23</v>
      </c>
    </row>
    <row r="8" spans="1:5" x14ac:dyDescent="0.25">
      <c r="A8" s="19" t="s">
        <v>163</v>
      </c>
      <c r="B8" t="s">
        <v>165</v>
      </c>
    </row>
    <row r="9" spans="1:5" x14ac:dyDescent="0.25">
      <c r="A9" s="20" t="s">
        <v>171</v>
      </c>
      <c r="B9" s="28">
        <v>37150</v>
      </c>
    </row>
    <row r="10" spans="1:5" x14ac:dyDescent="0.25">
      <c r="A10" s="20" t="s">
        <v>168</v>
      </c>
      <c r="B10" s="28">
        <v>288125</v>
      </c>
    </row>
    <row r="11" spans="1:5" x14ac:dyDescent="0.25">
      <c r="A11" s="20" t="s">
        <v>169</v>
      </c>
      <c r="B11" s="28">
        <v>21532</v>
      </c>
    </row>
    <row r="12" spans="1:5" x14ac:dyDescent="0.25">
      <c r="A12" s="20" t="s">
        <v>170</v>
      </c>
      <c r="B12" s="28">
        <v>11590</v>
      </c>
    </row>
    <row r="13" spans="1:5" x14ac:dyDescent="0.25">
      <c r="A13" s="20" t="s">
        <v>164</v>
      </c>
      <c r="B13" s="28">
        <v>358397</v>
      </c>
    </row>
    <row r="15" spans="1:5" x14ac:dyDescent="0.25">
      <c r="A15" s="19" t="s">
        <v>163</v>
      </c>
      <c r="B15" t="s">
        <v>165</v>
      </c>
    </row>
    <row r="16" spans="1:5" x14ac:dyDescent="0.25">
      <c r="A16" s="20" t="s">
        <v>21</v>
      </c>
      <c r="B16" s="28">
        <v>203421</v>
      </c>
    </row>
    <row r="17" spans="1:3" x14ac:dyDescent="0.25">
      <c r="A17" s="20" t="s">
        <v>36</v>
      </c>
      <c r="B17" s="28">
        <v>119646</v>
      </c>
    </row>
    <row r="18" spans="1:3" x14ac:dyDescent="0.25">
      <c r="A18" s="20" t="s">
        <v>43</v>
      </c>
      <c r="B18" s="28">
        <v>35330</v>
      </c>
    </row>
    <row r="19" spans="1:3" x14ac:dyDescent="0.25">
      <c r="A19" s="20" t="s">
        <v>164</v>
      </c>
      <c r="B19" s="28">
        <v>358397</v>
      </c>
    </row>
    <row r="21" spans="1:3" x14ac:dyDescent="0.25">
      <c r="A21" s="19" t="s">
        <v>163</v>
      </c>
      <c r="B21" t="s">
        <v>165</v>
      </c>
    </row>
    <row r="22" spans="1:3" x14ac:dyDescent="0.25">
      <c r="A22" s="25">
        <v>1</v>
      </c>
      <c r="B22" s="28">
        <v>68266</v>
      </c>
    </row>
    <row r="23" spans="1:3" x14ac:dyDescent="0.25">
      <c r="A23" s="25">
        <v>2</v>
      </c>
      <c r="B23" s="28">
        <v>93532</v>
      </c>
    </row>
    <row r="24" spans="1:3" x14ac:dyDescent="0.25">
      <c r="A24" s="25">
        <v>3</v>
      </c>
      <c r="B24" s="28">
        <v>160944</v>
      </c>
    </row>
    <row r="25" spans="1:3" x14ac:dyDescent="0.25">
      <c r="A25" s="25">
        <v>4</v>
      </c>
      <c r="B25" s="28">
        <v>35655</v>
      </c>
    </row>
    <row r="26" spans="1:3" x14ac:dyDescent="0.25">
      <c r="A26" s="25" t="s">
        <v>164</v>
      </c>
      <c r="B26" s="28">
        <v>358397</v>
      </c>
    </row>
    <row r="28" spans="1:3" x14ac:dyDescent="0.25">
      <c r="A28" s="19" t="s">
        <v>163</v>
      </c>
      <c r="B28" t="s">
        <v>165</v>
      </c>
      <c r="C28" t="s">
        <v>180</v>
      </c>
    </row>
    <row r="29" spans="1:3" x14ac:dyDescent="0.25">
      <c r="A29" s="20" t="s">
        <v>37</v>
      </c>
      <c r="B29" s="28">
        <v>111506</v>
      </c>
      <c r="C29" t="e" cm="1">
        <f t="array" ref="C29">IF($B$1=1, NA(), IF(INDEX($E$1:$E$7,$B$1)=$A29, B29,NA()))</f>
        <v>#N/A</v>
      </c>
    </row>
    <row r="30" spans="1:3" x14ac:dyDescent="0.25">
      <c r="A30" s="20" t="s">
        <v>59</v>
      </c>
      <c r="B30" s="28">
        <v>20080</v>
      </c>
      <c r="C30" t="e" cm="1">
        <f t="array" ref="C30">IF($B$1=1, NA(), IF(INDEX($E$1:$E$7,$B$1)=$A30, B30,NA()))</f>
        <v>#N/A</v>
      </c>
    </row>
    <row r="31" spans="1:3" x14ac:dyDescent="0.25">
      <c r="A31" s="20" t="s">
        <v>89</v>
      </c>
      <c r="B31" s="28">
        <v>46175</v>
      </c>
      <c r="C31" t="e" cm="1">
        <f t="array" ref="C31">IF($B$1=1, NA(), IF(INDEX($E$1:$E$7,$B$1)=$A31, B31,NA()))</f>
        <v>#N/A</v>
      </c>
    </row>
    <row r="32" spans="1:3" x14ac:dyDescent="0.25">
      <c r="A32" s="20" t="s">
        <v>51</v>
      </c>
      <c r="B32" s="28">
        <v>30010</v>
      </c>
      <c r="C32" t="e" cm="1">
        <f t="array" ref="C32">IF($B$1=1, NA(), IF(INDEX($E$1:$E$7,$B$1)=$A32, B32,NA()))</f>
        <v>#N/A</v>
      </c>
    </row>
    <row r="33" spans="1:3" x14ac:dyDescent="0.25">
      <c r="A33" s="20" t="s">
        <v>29</v>
      </c>
      <c r="B33" s="28">
        <v>19972</v>
      </c>
      <c r="C33" t="e" cm="1">
        <f t="array" ref="C33">IF($B$1=1, NA(), IF(INDEX($E$1:$E$7,$B$1)=$A33, B33,NA()))</f>
        <v>#N/A</v>
      </c>
    </row>
    <row r="34" spans="1:3" x14ac:dyDescent="0.25">
      <c r="A34" s="20" t="s">
        <v>23</v>
      </c>
      <c r="B34" s="28">
        <v>130654</v>
      </c>
      <c r="C34" t="e" cm="1">
        <f t="array" ref="C34">IF($B$1=1, NA(), IF(INDEX($E$1:$E$7,$B$1)=$A34, B34,NA()))</f>
        <v>#N/A</v>
      </c>
    </row>
    <row r="35" spans="1:3" x14ac:dyDescent="0.25">
      <c r="A35" s="20" t="s">
        <v>164</v>
      </c>
      <c r="B35" s="28">
        <v>358397</v>
      </c>
    </row>
  </sheetData>
  <pageMargins left="0.7" right="0.7" top="0.75" bottom="0.75" header="0.3" footer="0.3"/>
  <pageSetup orientation="portrait" horizontalDpi="360" verticalDpi="360"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6C150-C319-40A9-94FE-56582C157212}">
  <sheetPr codeName="Sheet14"/>
  <dimension ref="A3:D28"/>
  <sheetViews>
    <sheetView workbookViewId="0">
      <selection activeCell="A3" sqref="A3:D28"/>
    </sheetView>
  </sheetViews>
  <sheetFormatPr defaultRowHeight="15" x14ac:dyDescent="0.25"/>
  <cols>
    <col min="1" max="1" width="24.140625" bestFit="1" customWidth="1"/>
    <col min="2" max="2" width="16.28515625" bestFit="1" customWidth="1"/>
    <col min="3" max="3" width="7.5703125" bestFit="1" customWidth="1"/>
    <col min="4" max="4" width="11.28515625" bestFit="1" customWidth="1"/>
  </cols>
  <sheetData>
    <row r="3" spans="1:4" x14ac:dyDescent="0.25">
      <c r="A3" s="19" t="s">
        <v>177</v>
      </c>
      <c r="B3" s="19" t="s">
        <v>166</v>
      </c>
    </row>
    <row r="4" spans="1:4" x14ac:dyDescent="0.25">
      <c r="A4" s="19" t="s">
        <v>163</v>
      </c>
      <c r="B4" t="s">
        <v>22</v>
      </c>
      <c r="C4" t="s">
        <v>28</v>
      </c>
      <c r="D4" t="s">
        <v>164</v>
      </c>
    </row>
    <row r="5" spans="1:4" x14ac:dyDescent="0.25">
      <c r="A5" s="20" t="s">
        <v>37</v>
      </c>
      <c r="B5" s="27">
        <v>70617</v>
      </c>
      <c r="C5" s="27">
        <v>40889</v>
      </c>
      <c r="D5" s="27">
        <v>111506</v>
      </c>
    </row>
    <row r="6" spans="1:4" x14ac:dyDescent="0.25">
      <c r="A6" s="26" t="s">
        <v>38</v>
      </c>
      <c r="B6" s="27">
        <v>24338</v>
      </c>
      <c r="C6" s="27">
        <v>19129</v>
      </c>
      <c r="D6" s="27">
        <v>43467</v>
      </c>
    </row>
    <row r="7" spans="1:4" x14ac:dyDescent="0.25">
      <c r="A7" s="26" t="s">
        <v>54</v>
      </c>
      <c r="B7" s="27">
        <v>20780</v>
      </c>
      <c r="C7" s="27">
        <v>18360</v>
      </c>
      <c r="D7" s="27">
        <v>39140</v>
      </c>
    </row>
    <row r="8" spans="1:4" x14ac:dyDescent="0.25">
      <c r="A8" s="26" t="s">
        <v>136</v>
      </c>
      <c r="B8" s="27"/>
      <c r="C8" s="27">
        <v>1080</v>
      </c>
      <c r="D8" s="27">
        <v>1080</v>
      </c>
    </row>
    <row r="9" spans="1:4" x14ac:dyDescent="0.25">
      <c r="A9" s="26" t="s">
        <v>76</v>
      </c>
      <c r="B9" s="27">
        <v>25499</v>
      </c>
      <c r="C9" s="27">
        <v>2320</v>
      </c>
      <c r="D9" s="27">
        <v>27819</v>
      </c>
    </row>
    <row r="10" spans="1:4" x14ac:dyDescent="0.25">
      <c r="A10" s="20" t="s">
        <v>59</v>
      </c>
      <c r="B10" s="27">
        <v>13870</v>
      </c>
      <c r="C10" s="27">
        <v>6210</v>
      </c>
      <c r="D10" s="27">
        <v>20080</v>
      </c>
    </row>
    <row r="11" spans="1:4" x14ac:dyDescent="0.25">
      <c r="A11" s="26" t="s">
        <v>60</v>
      </c>
      <c r="B11" s="27">
        <v>13870</v>
      </c>
      <c r="C11" s="27">
        <v>6210</v>
      </c>
      <c r="D11" s="27">
        <v>20080</v>
      </c>
    </row>
    <row r="12" spans="1:4" x14ac:dyDescent="0.25">
      <c r="A12" s="20" t="s">
        <v>89</v>
      </c>
      <c r="B12" s="27">
        <v>16165</v>
      </c>
      <c r="C12" s="27">
        <v>30010</v>
      </c>
      <c r="D12" s="27">
        <v>46175</v>
      </c>
    </row>
    <row r="13" spans="1:4" x14ac:dyDescent="0.25">
      <c r="A13" s="26" t="s">
        <v>126</v>
      </c>
      <c r="B13" s="27"/>
      <c r="C13" s="27">
        <v>9280</v>
      </c>
      <c r="D13" s="27">
        <v>9280</v>
      </c>
    </row>
    <row r="14" spans="1:4" x14ac:dyDescent="0.25">
      <c r="A14" s="26" t="s">
        <v>90</v>
      </c>
      <c r="B14" s="27">
        <v>6885</v>
      </c>
      <c r="C14" s="27">
        <v>13770</v>
      </c>
      <c r="D14" s="27">
        <v>20655</v>
      </c>
    </row>
    <row r="15" spans="1:4" x14ac:dyDescent="0.25">
      <c r="A15" s="26" t="s">
        <v>112</v>
      </c>
      <c r="B15" s="27">
        <v>2320</v>
      </c>
      <c r="C15" s="27"/>
      <c r="D15" s="27">
        <v>2320</v>
      </c>
    </row>
    <row r="16" spans="1:4" x14ac:dyDescent="0.25">
      <c r="A16" s="26" t="s">
        <v>120</v>
      </c>
      <c r="B16" s="27">
        <v>6960</v>
      </c>
      <c r="C16" s="27"/>
      <c r="D16" s="27">
        <v>6960</v>
      </c>
    </row>
    <row r="17" spans="1:4" x14ac:dyDescent="0.25">
      <c r="A17" s="26" t="s">
        <v>147</v>
      </c>
      <c r="B17" s="27"/>
      <c r="C17" s="27">
        <v>6960</v>
      </c>
      <c r="D17" s="27">
        <v>6960</v>
      </c>
    </row>
    <row r="18" spans="1:4" x14ac:dyDescent="0.25">
      <c r="A18" s="20" t="s">
        <v>51</v>
      </c>
      <c r="B18" s="27">
        <v>18510</v>
      </c>
      <c r="C18" s="27">
        <v>11500</v>
      </c>
      <c r="D18" s="27">
        <v>30010</v>
      </c>
    </row>
    <row r="19" spans="1:4" x14ac:dyDescent="0.25">
      <c r="A19" s="26" t="s">
        <v>79</v>
      </c>
      <c r="B19" s="27">
        <v>2320</v>
      </c>
      <c r="C19" s="27"/>
      <c r="D19" s="27">
        <v>2320</v>
      </c>
    </row>
    <row r="20" spans="1:4" x14ac:dyDescent="0.25">
      <c r="A20" s="26" t="s">
        <v>138</v>
      </c>
      <c r="B20" s="27">
        <v>4590</v>
      </c>
      <c r="C20" s="27">
        <v>2320</v>
      </c>
      <c r="D20" s="27">
        <v>6910</v>
      </c>
    </row>
    <row r="21" spans="1:4" x14ac:dyDescent="0.25">
      <c r="A21" s="26" t="s">
        <v>52</v>
      </c>
      <c r="B21" s="27">
        <v>11600</v>
      </c>
      <c r="C21" s="27">
        <v>9180</v>
      </c>
      <c r="D21" s="27">
        <v>20780</v>
      </c>
    </row>
    <row r="22" spans="1:4" x14ac:dyDescent="0.25">
      <c r="A22" s="20" t="s">
        <v>29</v>
      </c>
      <c r="B22" s="27">
        <v>6897</v>
      </c>
      <c r="C22" s="27">
        <v>13075</v>
      </c>
      <c r="D22" s="27">
        <v>19972</v>
      </c>
    </row>
    <row r="23" spans="1:4" x14ac:dyDescent="0.25">
      <c r="A23" s="26" t="s">
        <v>30</v>
      </c>
      <c r="B23" s="27">
        <v>6897</v>
      </c>
      <c r="C23" s="27">
        <v>13075</v>
      </c>
      <c r="D23" s="27">
        <v>19972</v>
      </c>
    </row>
    <row r="24" spans="1:4" x14ac:dyDescent="0.25">
      <c r="A24" s="20" t="s">
        <v>23</v>
      </c>
      <c r="B24" s="27">
        <v>84860</v>
      </c>
      <c r="C24" s="27">
        <v>45794</v>
      </c>
      <c r="D24" s="27">
        <v>130654</v>
      </c>
    </row>
    <row r="25" spans="1:4" x14ac:dyDescent="0.25">
      <c r="A25" s="26" t="s">
        <v>24</v>
      </c>
      <c r="B25" s="27">
        <v>44760</v>
      </c>
      <c r="C25" s="27">
        <v>29704</v>
      </c>
      <c r="D25" s="27">
        <v>74464</v>
      </c>
    </row>
    <row r="26" spans="1:4" x14ac:dyDescent="0.25">
      <c r="A26" s="26" t="s">
        <v>72</v>
      </c>
      <c r="B26" s="27">
        <v>15820</v>
      </c>
      <c r="C26" s="27">
        <v>9180</v>
      </c>
      <c r="D26" s="27">
        <v>25000</v>
      </c>
    </row>
    <row r="27" spans="1:4" x14ac:dyDescent="0.25">
      <c r="A27" s="26" t="s">
        <v>47</v>
      </c>
      <c r="B27" s="27">
        <v>24280</v>
      </c>
      <c r="C27" s="27">
        <v>6910</v>
      </c>
      <c r="D27" s="27">
        <v>31190</v>
      </c>
    </row>
    <row r="28" spans="1:4" x14ac:dyDescent="0.25">
      <c r="A28" s="20" t="s">
        <v>164</v>
      </c>
      <c r="B28" s="27">
        <v>210919</v>
      </c>
      <c r="C28" s="27">
        <v>147478</v>
      </c>
      <c r="D28" s="27">
        <v>358397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326FB-E9E1-4D93-A077-147D2D79C05D}">
  <dimension ref="A1"/>
  <sheetViews>
    <sheetView showGridLines="0" tabSelected="1" workbookViewId="0">
      <selection activeCell="X28" sqref="X28"/>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98F9F34832A35489A19D5E200F54CC8" ma:contentTypeVersion="17" ma:contentTypeDescription="Create a new document." ma:contentTypeScope="" ma:versionID="4667fbbc43b4318bb111874a548e13d5">
  <xsd:schema xmlns:xsd="http://www.w3.org/2001/XMLSchema" xmlns:xs="http://www.w3.org/2001/XMLSchema" xmlns:p="http://schemas.microsoft.com/office/2006/metadata/properties" xmlns:ns2="6cf0ffbd-cd96-4ba4-bd4f-bd34e8409846" xmlns:ns3="ef7ae401-bd17-41a5-97cb-ef653218410e" targetNamespace="http://schemas.microsoft.com/office/2006/metadata/properties" ma:root="true" ma:fieldsID="750e449e756990df47b00428a15370bb" ns2:_="" ns3:_="">
    <xsd:import namespace="6cf0ffbd-cd96-4ba4-bd4f-bd34e8409846"/>
    <xsd:import namespace="ef7ae401-bd17-41a5-97cb-ef653218410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f0ffbd-cd96-4ba4-bd4f-bd34e84098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10261dd-85c0-4e16-8580-30375acfae1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f7ae401-bd17-41a5-97cb-ef653218410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caefe5af-a435-4393-a14b-6f721e236a53}" ma:internalName="TaxCatchAll" ma:showField="CatchAllData" ma:web="ef7ae401-bd17-41a5-97cb-ef653218410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lcf76f155ced4ddcb4097134ff3c332f xmlns="6cf0ffbd-cd96-4ba4-bd4f-bd34e8409846">
      <Terms xmlns="http://schemas.microsoft.com/office/infopath/2007/PartnerControls"/>
    </lcf76f155ced4ddcb4097134ff3c332f>
    <TaxCatchAll xmlns="ef7ae401-bd17-41a5-97cb-ef653218410e" xsi:nil="true"/>
  </documentManagement>
</p:properti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700A3249-61A6-4732-B467-CFA4F502C1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cf0ffbd-cd96-4ba4-bd4f-bd34e8409846"/>
    <ds:schemaRef ds:uri="ef7ae401-bd17-41a5-97cb-ef65321841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314AE2E-DC00-45F4-86D4-833A2A470613}">
  <ds:schemaRefs/>
</ds:datastoreItem>
</file>

<file path=customXml/itemProps3.xml><?xml version="1.0" encoding="utf-8"?>
<ds:datastoreItem xmlns:ds="http://schemas.openxmlformats.org/officeDocument/2006/customXml" ds:itemID="{6A77C7D5-983C-4B15-A63B-38F48A7EACDF}">
  <ds:schemaRefs>
    <ds:schemaRef ds:uri="http://schemas.microsoft.com/sharepoint/v3/contenttype/forms"/>
  </ds:schemaRefs>
</ds:datastoreItem>
</file>

<file path=customXml/itemProps4.xml><?xml version="1.0" encoding="utf-8"?>
<ds:datastoreItem xmlns:ds="http://schemas.openxmlformats.org/officeDocument/2006/customXml" ds:itemID="{CE633C2F-F8F2-41A3-926D-B72CC8D7BE67}">
  <ds:schemaRefs/>
</ds:datastoreItem>
</file>

<file path=customXml/itemProps5.xml><?xml version="1.0" encoding="utf-8"?>
<ds:datastoreItem xmlns:ds="http://schemas.openxmlformats.org/officeDocument/2006/customXml" ds:itemID="{9A630936-3BDB-4D6E-9EDB-82BA58599497}">
  <ds:schemaRefs/>
</ds:datastoreItem>
</file>

<file path=customXml/itemProps6.xml><?xml version="1.0" encoding="utf-8"?>
<ds:datastoreItem xmlns:ds="http://schemas.openxmlformats.org/officeDocument/2006/customXml" ds:itemID="{06793C23-C101-4DAF-B1D2-151B72B9FC8D}">
  <ds:schemaRefs/>
</ds:datastoreItem>
</file>

<file path=customXml/itemProps7.xml><?xml version="1.0" encoding="utf-8"?>
<ds:datastoreItem xmlns:ds="http://schemas.openxmlformats.org/officeDocument/2006/customXml" ds:itemID="{A5401F62-5B0E-4BA7-8FFD-E44BE5550584}">
  <ds:schemaRefs/>
</ds:datastoreItem>
</file>

<file path=customXml/itemProps8.xml><?xml version="1.0" encoding="utf-8"?>
<ds:datastoreItem xmlns:ds="http://schemas.openxmlformats.org/officeDocument/2006/customXml" ds:itemID="{D374A033-9655-4FB0-B19E-F63F77E5199A}">
  <ds:schemaRefs/>
</ds:datastoreItem>
</file>

<file path=customXml/itemProps9.xml><?xml version="1.0" encoding="utf-8"?>
<ds:datastoreItem xmlns:ds="http://schemas.openxmlformats.org/officeDocument/2006/customXml" ds:itemID="{6CD83D9C-AFD6-463A-945B-37E34DC43F8D}">
  <ds:schemaRefs/>
</ds:datastoreItem>
</file>

<file path=customXml/itemProps10.xml><?xml version="1.0" encoding="utf-8"?>
<ds:datastoreItem xmlns:ds="http://schemas.openxmlformats.org/officeDocument/2006/customXml" ds:itemID="{D4B4D7D1-7C0F-4040-B91C-636DBC7F7A6E}">
  <ds:schemaRefs/>
</ds:datastoreItem>
</file>

<file path=customXml/itemProps11.xml><?xml version="1.0" encoding="utf-8"?>
<ds:datastoreItem xmlns:ds="http://schemas.openxmlformats.org/officeDocument/2006/customXml" ds:itemID="{B0E83AF8-2C50-4089-9716-0DC4D6C9EB5B}">
  <ds:schemaRefs>
    <ds:schemaRef ds:uri="http://schemas.microsoft.com/office/2006/metadata/properties"/>
    <ds:schemaRef ds:uri="http://schemas.microsoft.com/office/infopath/2007/PartnerControls"/>
    <ds:schemaRef ds:uri="6cf0ffbd-cd96-4ba4-bd4f-bd34e8409846"/>
    <ds:schemaRef ds:uri="ef7ae401-bd17-41a5-97cb-ef653218410e"/>
  </ds:schemaRefs>
</ds:datastoreItem>
</file>

<file path=customXml/itemProps12.xml><?xml version="1.0" encoding="utf-8"?>
<ds:datastoreItem xmlns:ds="http://schemas.openxmlformats.org/officeDocument/2006/customXml" ds:itemID="{8F84C119-CFC2-4661-ACB4-6DAA87CFE975}">
  <ds:schemaRefs/>
</ds:datastoreItem>
</file>

<file path=customXml/itemProps13.xml><?xml version="1.0" encoding="utf-8"?>
<ds:datastoreItem xmlns:ds="http://schemas.openxmlformats.org/officeDocument/2006/customXml" ds:itemID="{87086A20-A894-46E7-8F5D-38E4B835586F}">
  <ds:schemaRefs/>
</ds:datastoreItem>
</file>

<file path=customXml/itemProps14.xml><?xml version="1.0" encoding="utf-8"?>
<ds:datastoreItem xmlns:ds="http://schemas.openxmlformats.org/officeDocument/2006/customXml" ds:itemID="{AB91F6B2-8114-4F0B-81D7-9110C9BEF278}">
  <ds:schemaRefs/>
</ds:datastoreItem>
</file>

<file path=customXml/itemProps15.xml><?xml version="1.0" encoding="utf-8"?>
<ds:datastoreItem xmlns:ds="http://schemas.openxmlformats.org/officeDocument/2006/customXml" ds:itemID="{AF6DB30D-8A66-49CE-A798-7D1ABB6D5863}">
  <ds:schemaRefs/>
</ds:datastoreItem>
</file>

<file path=customXml/itemProps16.xml><?xml version="1.0" encoding="utf-8"?>
<ds:datastoreItem xmlns:ds="http://schemas.openxmlformats.org/officeDocument/2006/customXml" ds:itemID="{715804E2-85FC-4221-8CA1-6C7CF795AB14}">
  <ds:schemaRefs/>
</ds:datastoreItem>
</file>

<file path=customXml/itemProps17.xml><?xml version="1.0" encoding="utf-8"?>
<ds:datastoreItem xmlns:ds="http://schemas.openxmlformats.org/officeDocument/2006/customXml" ds:itemID="{2C90F96D-6AFC-4A53-AEFD-027BC3FD3BF4}">
  <ds:schemaRefs/>
</ds:datastoreItem>
</file>

<file path=customXml/itemProps18.xml><?xml version="1.0" encoding="utf-8"?>
<ds:datastoreItem xmlns:ds="http://schemas.openxmlformats.org/officeDocument/2006/customXml" ds:itemID="{781497A4-32F5-4ADA-8351-AA96C2259477}">
  <ds:schemaRefs/>
</ds:datastoreItem>
</file>

<file path=customXml/itemProps19.xml><?xml version="1.0" encoding="utf-8"?>
<ds:datastoreItem xmlns:ds="http://schemas.openxmlformats.org/officeDocument/2006/customXml" ds:itemID="{3BB06F50-82D3-4697-8253-25802AD3EE42}">
  <ds:schemaRefs/>
</ds:datastoreItem>
</file>

<file path=customXml/itemProps20.xml><?xml version="1.0" encoding="utf-8"?>
<ds:datastoreItem xmlns:ds="http://schemas.openxmlformats.org/officeDocument/2006/customXml" ds:itemID="{FB256173-6646-47A5-A085-F4D8196B9CF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Orig Bike Sales</vt:lpstr>
      <vt:lpstr>Products</vt:lpstr>
      <vt:lpstr>Working</vt:lpstr>
      <vt:lpstr>PVSheet</vt:lpstr>
      <vt:lpstr>SalesByCountryGender</vt:lpstr>
      <vt:lpstr>Dashboard</vt:lpstr>
      <vt:lpstr>GenderCountry</vt:lpstr>
      <vt:lpstr>PVAgeGroup</vt:lpstr>
      <vt:lpstr>PVCountry</vt:lpstr>
      <vt:lpstr>PVGender</vt:lpstr>
      <vt:lpstr>PVProdType</vt:lpstr>
      <vt:lpstr>PVWeekly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Pickard, John</dc:creator>
  <cp:keywords/>
  <dc:description/>
  <cp:lastModifiedBy>Millie Paturi</cp:lastModifiedBy>
  <cp:revision/>
  <dcterms:created xsi:type="dcterms:W3CDTF">2022-11-04T20:14:11Z</dcterms:created>
  <dcterms:modified xsi:type="dcterms:W3CDTF">2024-09-26T22:20:44Z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0x010100198F9F34832A35489A19D5E200F54CC8</vt:lpwstr>
  </property>
</Properties>
</file>